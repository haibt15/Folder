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/>
  <workbookPr filterPrivacy="1" codeName="ThisWorkbook"/>
  <xr:revisionPtr revIDLastSave="0" documentId="13_ncr:1_{573764A9-34EB-49B4-A851-2C6243B09B0A}" xr6:coauthVersionLast="47" xr6:coauthVersionMax="47" xr10:uidLastSave="{00000000-0000-0000-0000-000000000000}"/>
  <bookViews>
    <workbookView xWindow="20430" yWindow="-60" windowWidth="28920" windowHeight="15600" tabRatio="780" activeTab="8" xr2:uid="{00000000-000D-0000-FFFF-FFFF00000000}"/>
  </bookViews>
  <sheets>
    <sheet name="1.Cover" sheetId="2" r:id="rId1"/>
    <sheet name="2.History_ver" sheetId="10" r:id="rId2"/>
    <sheet name="3.SIM_Result" sheetId="9" r:id="rId3"/>
    <sheet name="4.SVA_Result" sheetId="30" r:id="rId4"/>
    <sheet name="5.FCOV_Result" sheetId="31" r:id="rId5"/>
    <sheet name="6.CCOV_Result" sheetId="32" r:id="rId6"/>
    <sheet name="6.1.Sub_moduleA_CCOV_Sample1" sheetId="33" r:id="rId7"/>
    <sheet name="6.2.Sub_moduleA_CCOV_Sample2" sheetId="34" r:id="rId8"/>
    <sheet name="9.Bug_List" sheetId="18" r:id="rId9"/>
  </sheets>
  <definedNames>
    <definedName name="_▪_Figure_1">#REF!</definedName>
    <definedName name="Assertion_Coverage">'3.SIM_Result'!#REF!</definedName>
    <definedName name="cg_1">#REF!</definedName>
    <definedName name="Code_Coverage">'3.SIM_Result'!#REF!</definedName>
    <definedName name="ctr_tb1" localSheetId="3">#REF!</definedName>
    <definedName name="ctr_tb1">#REF!</definedName>
    <definedName name="f_1">#REF!</definedName>
    <definedName name="Fail_T">'3.SIM_Result'!#REF!</definedName>
    <definedName name="fig_1">'4.SVA_Result'!#REF!</definedName>
    <definedName name="Funtional_Coverage">'3.SIM_Result'!#REF!</definedName>
    <definedName name="options">#REF!</definedName>
    <definedName name="par0_tb1" localSheetId="3">#REF!</definedName>
    <definedName name="par0_tb1">#REF!</definedName>
    <definedName name="par0_tb2" localSheetId="3">#REF!</definedName>
    <definedName name="par0_tb2">#REF!</definedName>
    <definedName name="par0_tb3" localSheetId="3">#REF!</definedName>
    <definedName name="par0_tb3">#REF!</definedName>
    <definedName name="par1_tb1" localSheetId="3">#REF!</definedName>
    <definedName name="par1_tb1">#REF!</definedName>
    <definedName name="Pass_T">'3.SIM_Result'!#REF!</definedName>
    <definedName name="percent">#REF!</definedName>
    <definedName name="reg_tb1" localSheetId="3">#REF!</definedName>
    <definedName name="reg_tb1">#REF!</definedName>
    <definedName name="reg_tb2" localSheetId="3">#REF!</definedName>
    <definedName name="reg_tb2">#REF!</definedName>
    <definedName name="reg_tb3" localSheetId="3">#REF!</definedName>
    <definedName name="reg_tb3">#REF!</definedName>
    <definedName name="reg_tb4" localSheetId="3">#REF!</definedName>
    <definedName name="reg_tb4">#REF!</definedName>
    <definedName name="reg_tb5" localSheetId="3">#REF!</definedName>
    <definedName name="reg_tb5">#REF!</definedName>
    <definedName name="reg_tb6" localSheetId="3">#REF!</definedName>
    <definedName name="reg_tb6">#REF!</definedName>
    <definedName name="sys_reg_tb1" localSheetId="3">#REF!</definedName>
    <definedName name="sys_reg_tb1">#REF!</definedName>
    <definedName name="Total_T">'3.SIM_Result'!$K$15:$K$79</definedName>
    <definedName name="WindowOffse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40" i="32" l="1"/>
  <c r="L40" i="32"/>
  <c r="D40" i="32"/>
  <c r="T39" i="32"/>
  <c r="L39" i="32"/>
  <c r="D39" i="32"/>
  <c r="T38" i="32"/>
  <c r="P38" i="32"/>
  <c r="L38" i="32"/>
  <c r="H38" i="32"/>
  <c r="D38" i="32"/>
  <c r="T37" i="32"/>
  <c r="P37" i="32"/>
  <c r="L37" i="32"/>
  <c r="H37" i="32"/>
  <c r="D37" i="32"/>
  <c r="D14" i="31" l="1"/>
  <c r="F14" i="31" s="1"/>
  <c r="D13" i="31"/>
  <c r="F13" i="31" s="1"/>
  <c r="F12" i="31"/>
  <c r="F11" i="31"/>
  <c r="F10" i="31"/>
  <c r="G12" i="30"/>
  <c r="G10" i="30"/>
  <c r="J29" i="9"/>
  <c r="B29" i="9"/>
  <c r="I29" i="9"/>
  <c r="F29" i="9"/>
  <c r="G29" i="9"/>
  <c r="H29" i="9"/>
  <c r="E29" i="9"/>
</calcChain>
</file>

<file path=xl/sharedStrings.xml><?xml version="1.0" encoding="utf-8"?>
<sst xmlns="http://schemas.openxmlformats.org/spreadsheetml/2006/main" count="739" uniqueCount="263">
  <si>
    <t>No</t>
  </si>
  <si>
    <t>Date</t>
  </si>
  <si>
    <t>Content</t>
  </si>
  <si>
    <t>Author</t>
  </si>
  <si>
    <t>Remark</t>
  </si>
  <si>
    <t>- Create new</t>
  </si>
  <si>
    <t>Revision</t>
  </si>
  <si>
    <t>Description</t>
  </si>
  <si>
    <t>: Rev0.1</t>
  </si>
  <si>
    <t>R0.1</t>
  </si>
  <si>
    <t>HISTORY</t>
  </si>
  <si>
    <t>Prj Duration</t>
  </si>
  <si>
    <t>Updated by</t>
  </si>
  <si>
    <t>Approval</t>
  </si>
  <si>
    <t>- The history is used for recording all modification of this document</t>
  </si>
  <si>
    <t>- Please update exactly info to review correctly in the future</t>
  </si>
  <si>
    <t>Note</t>
  </si>
  <si>
    <t>-</t>
  </si>
  <si>
    <t>Scenario name</t>
  </si>
  <si>
    <t xml:space="preserve">: </t>
  </si>
  <si>
    <t>Hoa Vo</t>
  </si>
  <si>
    <t>IP_NAME VERIFICATION RESULT REPORT</t>
  </si>
  <si>
    <t>SIM Result</t>
  </si>
  <si>
    <t>No.</t>
  </si>
  <si>
    <t>UVM ERROR</t>
  </si>
  <si>
    <t>UVM FATAL</t>
  </si>
  <si>
    <t>UVM WARNING</t>
  </si>
  <si>
    <t>Other Errors</t>
  </si>
  <si>
    <t>CPU TIME</t>
  </si>
  <si>
    <t>Check Date</t>
  </si>
  <si>
    <t>Result</t>
  </si>
  <si>
    <t>PASSED</t>
  </si>
  <si>
    <t xml:space="preserve"> Mon Aug 15 14:24:40 2025</t>
  </si>
  <si>
    <t>RTL version</t>
  </si>
  <si>
    <t>scenario_name_0</t>
  </si>
  <si>
    <t>scenario_name_1</t>
  </si>
  <si>
    <t>scenario_name_2</t>
  </si>
  <si>
    <t>scenario_name_3</t>
  </si>
  <si>
    <t>scenario_name_4</t>
  </si>
  <si>
    <t>scenario_name_5</t>
  </si>
  <si>
    <t>scenario_name_6</t>
  </si>
  <si>
    <t>scenario_name_7</t>
  </si>
  <si>
    <t>scenario_name_8</t>
  </si>
  <si>
    <t>scenario_name_9</t>
  </si>
  <si>
    <t>scenario_name_10</t>
  </si>
  <si>
    <t>scenario_name_11</t>
  </si>
  <si>
    <t>scenario_name_12</t>
  </si>
  <si>
    <t>scenario_name_13</t>
  </si>
  <si>
    <t>scenario_name_14</t>
  </si>
  <si>
    <t>Ex.</t>
  </si>
  <si>
    <t>Log Number</t>
    <phoneticPr fontId="11"/>
  </si>
  <si>
    <t>Total Errors</t>
    <phoneticPr fontId="11"/>
  </si>
  <si>
    <t>Total time</t>
    <phoneticPr fontId="11"/>
  </si>
  <si>
    <t>Total PASSED</t>
  </si>
  <si>
    <t>FAILED</t>
  </si>
  <si>
    <t>ONGOING</t>
  </si>
  <si>
    <t>SVA Result</t>
  </si>
  <si>
    <t>Type</t>
  </si>
  <si>
    <t>Total</t>
  </si>
  <si>
    <t>Success</t>
  </si>
  <si>
    <t>Fail/Uncover</t>
  </si>
  <si>
    <t>Score</t>
  </si>
  <si>
    <t>Assert Property</t>
  </si>
  <si>
    <t>Cover Property</t>
  </si>
  <si>
    <t>Total Property</t>
  </si>
  <si>
    <t>Summary</t>
  </si>
  <si>
    <t>Details</t>
  </si>
  <si>
    <t>(Optional)</t>
  </si>
  <si>
    <t>If FAILURE/INCOMPLETE exists, the explanation must be described in Note</t>
  </si>
  <si>
    <t>ASSERTIONS</t>
  </si>
  <si>
    <t>ATTEMPTS</t>
  </si>
  <si>
    <t>REAL SUCCESSES</t>
  </si>
  <si>
    <t>FAILURES</t>
  </si>
  <si>
    <t>INCOMPLETE</t>
  </si>
  <si>
    <t>assertions_name_0</t>
  </si>
  <si>
    <t>assertions_name_1</t>
  </si>
  <si>
    <t>assertions_name_2</t>
  </si>
  <si>
    <t>assertions_name_3</t>
  </si>
  <si>
    <t>assertions_name_4</t>
  </si>
  <si>
    <t>assertions_name_5</t>
  </si>
  <si>
    <t>assertions_name_6</t>
  </si>
  <si>
    <t>assertions_name_7</t>
  </si>
  <si>
    <t>Get from coverage report</t>
  </si>
  <si>
    <t>- This sheet summarizes the results of all checkers extracted from the coverage database</t>
  </si>
  <si>
    <t>SIM ENV version</t>
  </si>
  <si>
    <t>ryyy</t>
  </si>
  <si>
    <t>rxxx</t>
  </si>
  <si>
    <t>If score is less than 100%, the explanation must be described in Note</t>
  </si>
  <si>
    <t>Coverage group</t>
  </si>
  <si>
    <t>Total bins</t>
  </si>
  <si>
    <t>Uncover</t>
  </si>
  <si>
    <t>Covered</t>
  </si>
  <si>
    <t>&lt;&gt;::&lt;&gt;::&lt;&gt;</t>
  </si>
  <si>
    <t>Total bins are counted when weight = 1</t>
  </si>
  <si>
    <t>FCOV Result</t>
  </si>
  <si>
    <t>CCOV Result</t>
  </si>
  <si>
    <t>- This sheet summarizes the results of code coverage extracted from the coverage database</t>
  </si>
  <si>
    <t>- This sheet summarizes the results of functional coverage extracted from the coverage database</t>
  </si>
  <si>
    <t>- This sheet is used to collect and summarize all results from simulation regression</t>
  </si>
  <si>
    <t>Bug List</t>
  </si>
  <si>
    <t>Verification history</t>
    <phoneticPr fontId="11"/>
  </si>
  <si>
    <t>Date</t>
    <phoneticPr fontId="11"/>
  </si>
  <si>
    <t>Reason</t>
    <phoneticPr fontId="11"/>
  </si>
  <si>
    <t>Spec update</t>
    <phoneticPr fontId="11"/>
  </si>
  <si>
    <t>N/A</t>
    <phoneticPr fontId="11"/>
  </si>
  <si>
    <t>RTL update</t>
    <phoneticPr fontId="11"/>
  </si>
  <si>
    <t>Bug history</t>
    <phoneticPr fontId="11"/>
  </si>
  <si>
    <t>Ticket No.</t>
    <phoneticPr fontId="11"/>
  </si>
  <si>
    <t>Description</t>
    <phoneticPr fontId="11"/>
  </si>
  <si>
    <t>Fill date updated</t>
  </si>
  <si>
    <t>Fill reason updated</t>
  </si>
  <si>
    <t xml:space="preserve">Fill description of bug </t>
  </si>
  <si>
    <t>number of ticket</t>
  </si>
  <si>
    <t>1. Original Code Coverage Result</t>
  </si>
  <si>
    <t>Sub Module A CCOV Sample1</t>
  </si>
  <si>
    <t>Sub Module A CCOV Sample2</t>
  </si>
  <si>
    <t>2. Code Coverage Result after analyzing</t>
  </si>
  <si>
    <t>- Code coverage result analysis:</t>
  </si>
  <si>
    <r>
      <t xml:space="preserve">- Module: </t>
    </r>
    <r>
      <rPr>
        <b/>
        <sz val="10"/>
        <color theme="1"/>
        <rFont val="Arial"/>
        <family val="2"/>
        <scheme val="minor"/>
      </rPr>
      <t>SUB_MODULE_A</t>
    </r>
  </si>
  <si>
    <t>Toggle Coverage</t>
  </si>
  <si>
    <t>Percent</t>
  </si>
  <si>
    <t xml:space="preserve">Totals </t>
  </si>
  <si>
    <t xml:space="preserve">Total Bits </t>
  </si>
  <si>
    <t xml:space="preserve">Total Bits 0-&gt;1 </t>
  </si>
  <si>
    <t xml:space="preserve">Total Bits 1-&gt;0 </t>
  </si>
  <si>
    <t xml:space="preserve">Ports </t>
  </si>
  <si>
    <t xml:space="preserve">Port Bits </t>
  </si>
  <si>
    <t xml:space="preserve">Port Bits 0-&gt;1 </t>
  </si>
  <si>
    <t xml:space="preserve">Port Bits 1-&gt;0 </t>
  </si>
  <si>
    <t xml:space="preserve">Signals </t>
  </si>
  <si>
    <t xml:space="preserve">Signal Bits </t>
  </si>
  <si>
    <t xml:space="preserve">Signal Bits 0-&gt;1 </t>
  </si>
  <si>
    <t xml:space="preserve">Signal Bits 1-&gt;0 </t>
  </si>
  <si>
    <t>Port Details</t>
  </si>
  <si>
    <t>Toggle</t>
  </si>
  <si>
    <t>Toggle 1-&gt;0</t>
  </si>
  <si>
    <t>Toggle 0-&gt;1</t>
  </si>
  <si>
    <t>Direction</t>
  </si>
  <si>
    <t>Problem</t>
  </si>
  <si>
    <t>Reason/Explanation</t>
  </si>
  <si>
    <t>Judgment</t>
  </si>
  <si>
    <t xml:space="preserve">I_IRST_N </t>
  </si>
  <si>
    <t xml:space="preserve">Yes </t>
  </si>
  <si>
    <t>INPUT</t>
  </si>
  <si>
    <t>OK</t>
  </si>
  <si>
    <t xml:space="preserve">I_PRST_N </t>
  </si>
  <si>
    <t xml:space="preserve">I_ICLK </t>
  </si>
  <si>
    <t xml:space="preserve">I_PCLK </t>
  </si>
  <si>
    <t xml:space="preserve">No </t>
  </si>
  <si>
    <t>NG</t>
  </si>
  <si>
    <t>OUTPUT</t>
  </si>
  <si>
    <t xml:space="preserve">I_PSEL </t>
  </si>
  <si>
    <t xml:space="preserve">I_PADDR[1:0] </t>
  </si>
  <si>
    <t>No problem, access 32 bit register, address bit [1:0] is not used.</t>
  </si>
  <si>
    <t xml:space="preserve">I_PADDR[7:2] </t>
  </si>
  <si>
    <t xml:space="preserve">I_PADDR[11:8] </t>
  </si>
  <si>
    <t>No problem, address bit [11:8] is not used.</t>
  </si>
  <si>
    <t xml:space="preserve">I_PWDATA[31:0] </t>
  </si>
  <si>
    <t xml:space="preserve">O_PRDATA[11:0] </t>
  </si>
  <si>
    <t xml:space="preserve">O_PRDATA[15:12] </t>
  </si>
  <si>
    <t>No problem, address bit [15:12] is not used.</t>
  </si>
  <si>
    <t xml:space="preserve">O_PRDATA[30:16] </t>
  </si>
  <si>
    <t xml:space="preserve">O_PRDATA[31] </t>
  </si>
  <si>
    <t>No problem, address bit [31] is not used.</t>
  </si>
  <si>
    <t xml:space="preserve">I_PWRITE </t>
  </si>
  <si>
    <t xml:space="preserve">I_PENABLE </t>
  </si>
  <si>
    <t xml:space="preserve">O_PREADY </t>
  </si>
  <si>
    <t>No problem, fixed 1'b1</t>
  </si>
  <si>
    <t xml:space="preserve">O_PSLVERR </t>
  </si>
  <si>
    <t>No problem, fixed 1'b0</t>
  </si>
  <si>
    <t xml:space="preserve">I_PSEL_IP </t>
  </si>
  <si>
    <t xml:space="preserve">I_PADDR_IP[1:0] </t>
  </si>
  <si>
    <t xml:space="preserve">I_PADDR_IP[11:2] </t>
  </si>
  <si>
    <t xml:space="preserve">I_PWDATA_IP[31:0] </t>
  </si>
  <si>
    <t xml:space="preserve">O_PRDATA_IP[15:0] </t>
  </si>
  <si>
    <t xml:space="preserve">O_PRDATA_IP[31:16] </t>
  </si>
  <si>
    <t>No problem, address bit [31:16] is not used.</t>
  </si>
  <si>
    <t xml:space="preserve">I_PWRITE_IP </t>
  </si>
  <si>
    <t xml:space="preserve">I_PENABLE_IP </t>
  </si>
  <si>
    <t xml:space="preserve">O_PREADY_IP </t>
  </si>
  <si>
    <t xml:space="preserve">O_PSLVERR_IP </t>
  </si>
  <si>
    <t>Signal Details</t>
  </si>
  <si>
    <t>Yes</t>
  </si>
  <si>
    <t xml:space="preserve">I_ICLK_intra </t>
  </si>
  <si>
    <t xml:space="preserve">I_CLKFSM_intra </t>
  </si>
  <si>
    <t xml:space="preserve">I_PCLK_intra </t>
  </si>
  <si>
    <t xml:space="preserve">I_PCLK_IP_intra </t>
  </si>
  <si>
    <t xml:space="preserve">s_irst_n </t>
  </si>
  <si>
    <t xml:space="preserve">s_fsmrst_n </t>
  </si>
  <si>
    <t xml:space="preserve">s_prst_n </t>
  </si>
  <si>
    <t xml:space="preserve">s_prst_ip_n </t>
  </si>
  <si>
    <t>NY</t>
  </si>
  <si>
    <t>Not Confirmed Yet</t>
  </si>
  <si>
    <t>Not Good, can be improved</t>
  </si>
  <si>
    <t>OK for exclusion with confirmation</t>
  </si>
  <si>
    <t>No problem, it's output from IP</t>
  </si>
  <si>
    <t>Example</t>
  </si>
  <si>
    <t>Line No.</t>
  </si>
  <si>
    <t>TOTAL</t>
  </si>
  <si>
    <t>ALWAYS</t>
  </si>
  <si>
    <t>Line Coverage</t>
  </si>
  <si>
    <t>Branch Coverage</t>
  </si>
  <si>
    <t>Branches</t>
  </si>
  <si>
    <t>IF</t>
  </si>
  <si>
    <t>Cond Coverage</t>
  </si>
  <si>
    <t>Conditions</t>
  </si>
  <si>
    <t>Logical</t>
  </si>
  <si>
    <t>Non-Logical</t>
  </si>
  <si>
    <t>Event</t>
  </si>
  <si>
    <t xml:space="preserve"> LINE       200</t>
  </si>
  <si>
    <t xml:space="preserve"> EXPRESSION ((sr_state == ST_WAIT) &amp;&amp; (s_chsel_lten == 1'b1) &amp;&amp; (sr_adc_ch_cnt == P_CH_CNT_MAX))</t>
  </si>
  <si>
    <t xml:space="preserve">             ----------1----------    -----------2----------    ---------------3---------------</t>
  </si>
  <si>
    <t>-1-</t>
  </si>
  <si>
    <t>-2-</t>
  </si>
  <si>
    <t>-3-</t>
  </si>
  <si>
    <t>Status</t>
  </si>
  <si>
    <t>Not Covered</t>
  </si>
  <si>
    <t>No problem.s_chsel_lten is just asserted on ST_WAIT state. This condition never occurred.</t>
  </si>
  <si>
    <t xml:space="preserve"> LINE       222</t>
  </si>
  <si>
    <t xml:space="preserve"> EXPRESSION ((sr_state == ST_WAIT) &amp;&amp; (s_chsel_lten == 1'b1) &amp;&amp; (sr_adc_ch_cnt &lt;= P_CH_MAX))</t>
  </si>
  <si>
    <t xml:space="preserve">             ----------1----------    -----------2----------    -------------3-------------</t>
  </si>
  <si>
    <t xml:space="preserve"> LINE       234</t>
  </si>
  <si>
    <t xml:space="preserve"> EXPRESSION ((sr_state == ST_WAIT) &amp;&amp; (s_chsel_lten == 1'b1))</t>
  </si>
  <si>
    <t xml:space="preserve">             ----------1----------    -----------2----------</t>
  </si>
  <si>
    <t xml:space="preserve"> LINE       264</t>
  </si>
  <si>
    <t xml:space="preserve"> EXPRESSION ((sr_state == ST_INT) &amp;&amp; (sr_adc_ch_cnt == 5'((P_CH_MAX + 1))))</t>
  </si>
  <si>
    <t xml:space="preserve">             ----------1---------    ------------------2------------------</t>
  </si>
  <si>
    <t>No problem. Interrupt just asserted when sr_adc_ch_cnt == 'd15 as specification</t>
  </si>
  <si>
    <t xml:space="preserve">I_ADCRST_N </t>
  </si>
  <si>
    <t xml:space="preserve">I_ADIN_CLK </t>
  </si>
  <si>
    <t xml:space="preserve">sr_adcintr </t>
  </si>
  <si>
    <t xml:space="preserve">s_int_ext </t>
  </si>
  <si>
    <t xml:space="preserve">s_state[2:0] </t>
  </si>
  <si>
    <t xml:space="preserve">sr_state[2:0] </t>
  </si>
  <si>
    <t xml:space="preserve">Branches </t>
  </si>
  <si>
    <t xml:space="preserve">IF </t>
  </si>
  <si>
    <t xml:space="preserve">CASE </t>
  </si>
  <si>
    <r>
      <t xml:space="preserve">- Module: </t>
    </r>
    <r>
      <rPr>
        <b/>
        <sz val="10"/>
        <color theme="1"/>
        <rFont val="Arial"/>
        <family val="2"/>
        <scheme val="minor"/>
      </rPr>
      <t>SUB_MODULE_B</t>
    </r>
  </si>
  <si>
    <t>* Please list and analysis all coverage extracted from coverage database one by one</t>
  </si>
  <si>
    <t>Module</t>
  </si>
  <si>
    <t>SCORE</t>
  </si>
  <si>
    <t>LINE</t>
  </si>
  <si>
    <t>COND</t>
  </si>
  <si>
    <t>TOGGLE</t>
  </si>
  <si>
    <t>FSM</t>
  </si>
  <si>
    <t>BRANCH</t>
  </si>
  <si>
    <t>Ratio</t>
  </si>
  <si>
    <t>Analyzed</t>
  </si>
  <si>
    <t>Target number</t>
  </si>
  <si>
    <t>DUT</t>
  </si>
  <si>
    <t>DUT.i_ADC</t>
  </si>
  <si>
    <t>(none)</t>
  </si>
  <si>
    <t>DUT.i_CLKGATE_WRAP_I_ICLK</t>
  </si>
  <si>
    <t>DUT.i_CLKGATE_WRAP_I_ICLK.i_sdff_sync_inst</t>
  </si>
  <si>
    <t>Coverage Ratio</t>
  </si>
  <si>
    <t>Not achieve target</t>
  </si>
  <si>
    <t>Achieve target after analysis</t>
  </si>
  <si>
    <t>Meet target, no analysis</t>
  </si>
  <si>
    <t>Not-available coverage merit</t>
  </si>
  <si>
    <t>Analyzed Items</t>
  </si>
  <si>
    <t>Complete analysis</t>
  </si>
  <si>
    <t>Need to be supported for unclear condition</t>
  </si>
  <si>
    <t>* REMARK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</si>
</sst>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[$-409]d\-mmm\-yy;@"/>
    <numFmt numFmtId="165" formatCode="h:mm:ss;@"/>
  </numFmts>
  <fonts count="53">
    <font>
      <sz val="11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b/>
      <sz val="18"/>
      <color theme="0"/>
      <name val="Yu Gothic"/>
      <family val="2"/>
    </font>
    <font>
      <sz val="11"/>
      <color theme="1"/>
      <name val="Yu Gothic"/>
      <family val="2"/>
    </font>
    <font>
      <i/>
      <u/>
      <sz val="11"/>
      <color theme="1"/>
      <name val="Yu Gothic"/>
      <family val="2"/>
    </font>
    <font>
      <sz val="9"/>
      <color theme="1"/>
      <name val="Yu Gothic"/>
      <family val="2"/>
    </font>
    <font>
      <b/>
      <sz val="9"/>
      <color rgb="FF00B050"/>
      <name val="Yu Gothic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8"/>
      <name val="Arial"/>
      <family val="2"/>
      <scheme val="minor"/>
    </font>
    <font>
      <sz val="14"/>
      <color theme="1"/>
      <name val="Yu Gothic"/>
      <family val="2"/>
    </font>
    <font>
      <sz val="11"/>
      <color theme="1"/>
      <name val="Arial"/>
      <family val="2"/>
      <scheme val="minor"/>
    </font>
    <font>
      <u/>
      <sz val="11"/>
      <color theme="10"/>
      <name val="Arial"/>
      <family val="2"/>
      <scheme val="minor"/>
    </font>
    <font>
      <sz val="10"/>
      <color theme="1"/>
      <name val="Arial"/>
      <family val="2"/>
      <scheme val="minor"/>
    </font>
    <font>
      <sz val="11"/>
      <name val="ＭＳ Ｐゴシック"/>
      <family val="3"/>
      <charset val="128"/>
    </font>
    <font>
      <b/>
      <u/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sz val="10"/>
      <color rgb="FFFF0000"/>
      <name val="Arial"/>
      <family val="2"/>
      <scheme val="minor"/>
    </font>
    <font>
      <u/>
      <sz val="11"/>
      <color theme="10"/>
      <name val="Arial"/>
      <family val="3"/>
      <charset val="128"/>
      <scheme val="minor"/>
    </font>
    <font>
      <sz val="11"/>
      <color theme="1"/>
      <name val="Arial"/>
      <family val="3"/>
      <charset val="128"/>
      <scheme val="minor"/>
    </font>
    <font>
      <b/>
      <sz val="18"/>
      <color theme="0"/>
      <name val="Arial"/>
      <family val="2"/>
      <scheme val="minor"/>
    </font>
    <font>
      <sz val="9"/>
      <color theme="1"/>
      <name val="Arial"/>
      <family val="2"/>
      <scheme val="minor"/>
    </font>
    <font>
      <b/>
      <i/>
      <u/>
      <sz val="10"/>
      <color theme="1"/>
      <name val="Arial"/>
      <family val="2"/>
      <scheme val="minor"/>
    </font>
    <font>
      <b/>
      <sz val="10"/>
      <color theme="0"/>
      <name val="Arial"/>
      <family val="2"/>
      <scheme val="minor"/>
    </font>
    <font>
      <b/>
      <sz val="22"/>
      <color theme="0"/>
      <name val="Arial"/>
      <family val="2"/>
      <scheme val="minor"/>
    </font>
    <font>
      <i/>
      <sz val="14"/>
      <color theme="1"/>
      <name val="Arial"/>
      <family val="2"/>
      <scheme val="minor"/>
    </font>
    <font>
      <sz val="14"/>
      <color theme="1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rgb="FF0000FF"/>
      <name val="Arial"/>
      <family val="2"/>
      <scheme val="minor"/>
    </font>
    <font>
      <sz val="11"/>
      <color rgb="FFFF0000"/>
      <name val="Arial"/>
      <family val="2"/>
      <scheme val="minor"/>
    </font>
    <font>
      <sz val="11"/>
      <color rgb="FFFF0000"/>
      <name val="Yu Gothic"/>
      <family val="2"/>
    </font>
    <font>
      <b/>
      <sz val="11"/>
      <color theme="1"/>
      <name val="Arial"/>
      <family val="3"/>
      <charset val="128"/>
      <scheme val="minor"/>
    </font>
    <font>
      <sz val="9"/>
      <color rgb="FFFF0000"/>
      <name val="Arial"/>
      <family val="3"/>
      <charset val="128"/>
      <scheme val="minor"/>
    </font>
    <font>
      <b/>
      <sz val="11"/>
      <color theme="1"/>
      <name val="Arial"/>
      <family val="2"/>
      <scheme val="minor"/>
    </font>
    <font>
      <b/>
      <i/>
      <u/>
      <sz val="11"/>
      <color theme="1"/>
      <name val="Arial"/>
      <family val="2"/>
      <scheme val="minor"/>
    </font>
    <font>
      <sz val="9"/>
      <color rgb="FF0000FF"/>
      <name val="Arial"/>
      <family val="3"/>
      <charset val="128"/>
      <scheme val="minor"/>
    </font>
    <font>
      <sz val="9"/>
      <color theme="1"/>
      <name val="Arial"/>
      <family val="3"/>
      <charset val="128"/>
      <scheme val="minor"/>
    </font>
    <font>
      <b/>
      <u/>
      <sz val="11"/>
      <color theme="1"/>
      <name val="Arial"/>
      <family val="3"/>
      <charset val="128"/>
      <scheme val="minor"/>
    </font>
    <font>
      <b/>
      <u/>
      <sz val="11"/>
      <color theme="1"/>
      <name val="Yu Gothic"/>
      <family val="2"/>
    </font>
    <font>
      <sz val="11"/>
      <color rgb="FF000000"/>
      <name val="Calibri1"/>
      <family val="3"/>
    </font>
    <font>
      <sz val="11"/>
      <color rgb="FF000000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Calibri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color rgb="FF000000"/>
      <name val="Arial"/>
      <family val="2"/>
    </font>
    <font>
      <sz val="14"/>
      <color rgb="FFFF0000"/>
      <name val="Yu Gothic"/>
      <family val="2"/>
    </font>
    <font>
      <sz val="11"/>
      <color rgb="FFFF0000"/>
      <name val="Arial"/>
      <family val="2"/>
    </font>
    <font>
      <sz val="11"/>
      <color rgb="FF00FF00"/>
      <name val="Arial"/>
      <family val="2"/>
    </font>
    <font>
      <b/>
      <sz val="14"/>
      <color rgb="FFFF0000"/>
      <name val="Yu Gothic"/>
      <family val="2"/>
    </font>
    <font>
      <sz val="11"/>
      <color rgb="FF000000"/>
      <name val="Arial"/>
      <family val="2"/>
      <scheme val="minor"/>
    </font>
    <font>
      <b/>
      <sz val="11"/>
      <color rgb="FFFF0000"/>
      <name val="Yu Gothic"/>
      <family val="2"/>
    </font>
    <font>
      <sz val="12"/>
      <color rgb="FF00000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B00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1C781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4" tint="-0.249977111117893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4">
    <xf numFmtId="0" fontId="0" fillId="0" borderId="0"/>
    <xf numFmtId="0" fontId="7" fillId="0" borderId="0"/>
    <xf numFmtId="0" fontId="8" fillId="0" borderId="0"/>
    <xf numFmtId="164" fontId="12" fillId="0" borderId="0" applyNumberFormat="0" applyFill="0" applyBorder="0" applyAlignment="0" applyProtection="0"/>
    <xf numFmtId="164" fontId="11" fillId="0" borderId="0"/>
    <xf numFmtId="164" fontId="14" fillId="0" borderId="0"/>
    <xf numFmtId="164" fontId="14" fillId="0" borderId="0"/>
    <xf numFmtId="164" fontId="14" fillId="0" borderId="0">
      <alignment vertical="center"/>
    </xf>
    <xf numFmtId="0" fontId="18" fillId="0" borderId="0" applyNumberFormat="0" applyFill="0" applyBorder="0" applyAlignment="0" applyProtection="0"/>
    <xf numFmtId="0" fontId="19" fillId="0" borderId="0"/>
    <xf numFmtId="0" fontId="14" fillId="0" borderId="0"/>
    <xf numFmtId="0" fontId="19" fillId="0" borderId="0">
      <alignment vertical="center"/>
    </xf>
    <xf numFmtId="0" fontId="39" fillId="0" borderId="0"/>
    <xf numFmtId="0" fontId="42" fillId="0" borderId="0"/>
  </cellStyleXfs>
  <cellXfs count="240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0" xfId="0" applyFont="1" applyAlignment="1">
      <alignment vertical="top"/>
    </xf>
    <xf numFmtId="0" fontId="1" fillId="0" borderId="6" xfId="0" applyFont="1" applyBorder="1" applyAlignment="1">
      <alignment vertical="top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3" fillId="0" borderId="19" xfId="0" applyFont="1" applyBorder="1"/>
    <xf numFmtId="0" fontId="3" fillId="0" borderId="13" xfId="0" applyFont="1" applyBorder="1"/>
    <xf numFmtId="0" fontId="3" fillId="0" borderId="14" xfId="0" applyFont="1" applyBorder="1"/>
    <xf numFmtId="0" fontId="3" fillId="0" borderId="17" xfId="0" applyFont="1" applyBorder="1"/>
    <xf numFmtId="0" fontId="3" fillId="0" borderId="11" xfId="0" applyFont="1" applyBorder="1"/>
    <xf numFmtId="0" fontId="2" fillId="2" borderId="0" xfId="0" applyFont="1" applyFill="1"/>
    <xf numFmtId="0" fontId="8" fillId="0" borderId="0" xfId="2"/>
    <xf numFmtId="0" fontId="6" fillId="0" borderId="0" xfId="0" applyFont="1"/>
    <xf numFmtId="0" fontId="10" fillId="0" borderId="0" xfId="0" applyFont="1" applyAlignment="1">
      <alignment vertical="top"/>
    </xf>
    <xf numFmtId="0" fontId="13" fillId="0" borderId="0" xfId="0" applyFont="1" applyAlignment="1">
      <alignment horizontal="left" vertical="top"/>
    </xf>
    <xf numFmtId="0" fontId="13" fillId="0" borderId="0" xfId="0" applyFont="1" applyAlignment="1">
      <alignment horizontal="left" vertical="top" wrapText="1"/>
    </xf>
    <xf numFmtId="0" fontId="15" fillId="0" borderId="0" xfId="10" applyFont="1" applyAlignment="1">
      <alignment horizontal="left" vertical="top"/>
    </xf>
    <xf numFmtId="0" fontId="20" fillId="2" borderId="0" xfId="0" applyFont="1" applyFill="1"/>
    <xf numFmtId="0" fontId="20" fillId="0" borderId="0" xfId="0" applyFont="1" applyAlignment="1">
      <alignment horizontal="left"/>
    </xf>
    <xf numFmtId="0" fontId="21" fillId="0" borderId="19" xfId="0" applyFont="1" applyBorder="1"/>
    <xf numFmtId="0" fontId="21" fillId="0" borderId="13" xfId="0" applyFont="1" applyBorder="1"/>
    <xf numFmtId="0" fontId="21" fillId="0" borderId="0" xfId="0" applyFont="1"/>
    <xf numFmtId="0" fontId="21" fillId="0" borderId="14" xfId="0" applyFont="1" applyBorder="1"/>
    <xf numFmtId="0" fontId="21" fillId="0" borderId="17" xfId="0" applyFont="1" applyBorder="1"/>
    <xf numFmtId="0" fontId="21" fillId="0" borderId="11" xfId="0" applyFont="1" applyBorder="1"/>
    <xf numFmtId="0" fontId="21" fillId="0" borderId="1" xfId="0" applyFont="1" applyBorder="1" applyAlignment="1">
      <alignment horizontal="center"/>
    </xf>
    <xf numFmtId="0" fontId="21" fillId="0" borderId="1" xfId="0" applyFont="1" applyBorder="1"/>
    <xf numFmtId="14" fontId="21" fillId="0" borderId="1" xfId="0" applyNumberFormat="1" applyFont="1" applyBorder="1"/>
    <xf numFmtId="0" fontId="22" fillId="0" borderId="18" xfId="0" applyFont="1" applyBorder="1"/>
    <xf numFmtId="0" fontId="13" fillId="0" borderId="15" xfId="0" quotePrefix="1" applyFont="1" applyBorder="1"/>
    <xf numFmtId="0" fontId="13" fillId="0" borderId="16" xfId="0" quotePrefix="1" applyFont="1" applyBorder="1"/>
    <xf numFmtId="0" fontId="23" fillId="2" borderId="1" xfId="0" applyFont="1" applyFill="1" applyBorder="1" applyAlignment="1">
      <alignment horizontal="center"/>
    </xf>
    <xf numFmtId="0" fontId="23" fillId="2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/>
    </xf>
    <xf numFmtId="14" fontId="13" fillId="0" borderId="1" xfId="0" applyNumberFormat="1" applyFont="1" applyBorder="1" applyAlignment="1">
      <alignment horizontal="center"/>
    </xf>
    <xf numFmtId="0" fontId="13" fillId="0" borderId="1" xfId="0" quotePrefix="1" applyFont="1" applyBorder="1"/>
    <xf numFmtId="0" fontId="13" fillId="0" borderId="1" xfId="0" applyFont="1" applyBorder="1"/>
    <xf numFmtId="0" fontId="25" fillId="0" borderId="0" xfId="0" applyFont="1" applyAlignment="1">
      <alignment vertical="top"/>
    </xf>
    <xf numFmtId="0" fontId="26" fillId="0" borderId="0" xfId="0" applyFont="1" applyAlignment="1">
      <alignment vertical="top"/>
    </xf>
    <xf numFmtId="0" fontId="27" fillId="3" borderId="1" xfId="0" applyFont="1" applyFill="1" applyBorder="1" applyAlignment="1">
      <alignment horizontal="center" vertical="center"/>
    </xf>
    <xf numFmtId="0" fontId="27" fillId="3" borderId="1" xfId="0" applyFont="1" applyFill="1" applyBorder="1" applyAlignment="1">
      <alignment horizontal="left" vertical="center"/>
    </xf>
    <xf numFmtId="0" fontId="23" fillId="2" borderId="14" xfId="0" applyFont="1" applyFill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3" fillId="0" borderId="1" xfId="0" applyFont="1" applyBorder="1"/>
    <xf numFmtId="0" fontId="17" fillId="3" borderId="1" xfId="0" applyFont="1" applyFill="1" applyBorder="1" applyAlignment="1">
      <alignment horizontal="center" vertical="center"/>
    </xf>
    <xf numFmtId="0" fontId="17" fillId="3" borderId="1" xfId="0" applyFont="1" applyFill="1" applyBorder="1" applyAlignment="1">
      <alignment horizontal="left" vertical="center"/>
    </xf>
    <xf numFmtId="0" fontId="29" fillId="0" borderId="1" xfId="0" applyFont="1" applyBorder="1" applyAlignment="1">
      <alignment vertical="center"/>
    </xf>
    <xf numFmtId="21" fontId="29" fillId="0" borderId="1" xfId="0" applyNumberFormat="1" applyFont="1" applyBorder="1" applyAlignment="1">
      <alignment vertical="center"/>
    </xf>
    <xf numFmtId="0" fontId="30" fillId="0" borderId="0" xfId="0" applyFont="1"/>
    <xf numFmtId="0" fontId="31" fillId="0" borderId="22" xfId="0" applyFont="1" applyBorder="1" applyAlignment="1">
      <alignment vertical="center"/>
    </xf>
    <xf numFmtId="0" fontId="31" fillId="0" borderId="23" xfId="0" applyFont="1" applyBorder="1" applyAlignment="1">
      <alignment vertical="center"/>
    </xf>
    <xf numFmtId="21" fontId="31" fillId="0" borderId="26" xfId="0" applyNumberFormat="1" applyFont="1" applyBorder="1" applyAlignment="1">
      <alignment vertical="center"/>
    </xf>
    <xf numFmtId="0" fontId="0" fillId="0" borderId="29" xfId="0" applyBorder="1" applyAlignment="1">
      <alignment horizontal="center"/>
    </xf>
    <xf numFmtId="0" fontId="0" fillId="0" borderId="30" xfId="0" applyBorder="1"/>
    <xf numFmtId="165" fontId="0" fillId="0" borderId="30" xfId="0" applyNumberFormat="1" applyBorder="1" applyAlignment="1">
      <alignment horizontal="right"/>
    </xf>
    <xf numFmtId="0" fontId="0" fillId="0" borderId="1" xfId="0" applyBorder="1"/>
    <xf numFmtId="10" fontId="0" fillId="0" borderId="1" xfId="0" applyNumberFormat="1" applyBorder="1"/>
    <xf numFmtId="10" fontId="0" fillId="0" borderId="1" xfId="0" applyNumberFormat="1" applyBorder="1" applyAlignment="1">
      <alignment horizontal="center"/>
    </xf>
    <xf numFmtId="10" fontId="0" fillId="0" borderId="1" xfId="0" applyNumberFormat="1" applyBorder="1" applyAlignment="1">
      <alignment horizontal="right"/>
    </xf>
    <xf numFmtId="0" fontId="29" fillId="0" borderId="0" xfId="0" applyFont="1"/>
    <xf numFmtId="0" fontId="32" fillId="0" borderId="0" xfId="1" applyFont="1" applyAlignment="1">
      <alignment vertical="center"/>
    </xf>
    <xf numFmtId="0" fontId="0" fillId="0" borderId="12" xfId="0" applyBorder="1" applyAlignment="1">
      <alignment vertical="center"/>
    </xf>
    <xf numFmtId="0" fontId="0" fillId="7" borderId="1" xfId="0" applyFill="1" applyBorder="1"/>
    <xf numFmtId="0" fontId="0" fillId="0" borderId="10" xfId="0" applyBorder="1"/>
    <xf numFmtId="0" fontId="29" fillId="0" borderId="1" xfId="0" applyFont="1" applyBorder="1"/>
    <xf numFmtId="0" fontId="17" fillId="0" borderId="0" xfId="0" applyFont="1" applyAlignment="1">
      <alignment horizontal="left" vertical="top"/>
    </xf>
    <xf numFmtId="0" fontId="13" fillId="0" borderId="0" xfId="0" quotePrefix="1" applyFont="1"/>
    <xf numFmtId="0" fontId="33" fillId="0" borderId="0" xfId="0" applyFont="1" applyAlignment="1">
      <alignment horizontal="left" vertical="top"/>
    </xf>
    <xf numFmtId="0" fontId="33" fillId="0" borderId="0" xfId="0" applyFont="1"/>
    <xf numFmtId="0" fontId="0" fillId="0" borderId="15" xfId="0" quotePrefix="1" applyBorder="1"/>
    <xf numFmtId="0" fontId="34" fillId="0" borderId="18" xfId="0" applyFont="1" applyBorder="1"/>
    <xf numFmtId="0" fontId="35" fillId="0" borderId="0" xfId="1" applyFont="1" applyAlignment="1">
      <alignment vertical="center"/>
    </xf>
    <xf numFmtId="0" fontId="36" fillId="0" borderId="0" xfId="1" applyFont="1" applyAlignment="1">
      <alignment horizontal="left" vertical="center"/>
    </xf>
    <xf numFmtId="0" fontId="36" fillId="0" borderId="0" xfId="1" applyFont="1" applyAlignment="1">
      <alignment vertical="center"/>
    </xf>
    <xf numFmtId="0" fontId="33" fillId="0" borderId="1" xfId="0" applyFont="1" applyBorder="1" applyAlignment="1">
      <alignment horizontal="left"/>
    </xf>
    <xf numFmtId="0" fontId="33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10" fontId="29" fillId="0" borderId="1" xfId="0" applyNumberFormat="1" applyFont="1" applyBorder="1" applyAlignment="1">
      <alignment horizontal="center"/>
    </xf>
    <xf numFmtId="0" fontId="37" fillId="0" borderId="0" xfId="0" applyFont="1"/>
    <xf numFmtId="0" fontId="0" fillId="4" borderId="1" xfId="0" applyFill="1" applyBorder="1" applyAlignment="1">
      <alignment horizontal="left" vertical="top"/>
    </xf>
    <xf numFmtId="0" fontId="0" fillId="4" borderId="20" xfId="0" applyFill="1" applyBorder="1" applyAlignment="1">
      <alignment horizontal="left" vertical="top"/>
    </xf>
    <xf numFmtId="0" fontId="0" fillId="4" borderId="21" xfId="0" applyFill="1" applyBorder="1" applyAlignment="1">
      <alignment horizontal="left" vertical="top"/>
    </xf>
    <xf numFmtId="0" fontId="0" fillId="0" borderId="0" xfId="0" applyAlignment="1">
      <alignment horizontal="left"/>
    </xf>
    <xf numFmtId="0" fontId="37" fillId="0" borderId="0" xfId="0" applyFont="1" applyAlignment="1">
      <alignment horizontal="left"/>
    </xf>
    <xf numFmtId="0" fontId="29" fillId="4" borderId="1" xfId="0" applyFont="1" applyFill="1" applyBorder="1" applyAlignment="1">
      <alignment horizontal="left" vertical="top"/>
    </xf>
    <xf numFmtId="0" fontId="29" fillId="0" borderId="1" xfId="0" applyFont="1" applyBorder="1" applyAlignment="1">
      <alignment horizontal="left" wrapText="1"/>
    </xf>
    <xf numFmtId="0" fontId="38" fillId="0" borderId="0" xfId="0" applyFont="1"/>
    <xf numFmtId="0" fontId="13" fillId="0" borderId="16" xfId="0" quotePrefix="1" applyFont="1" applyBorder="1" applyAlignment="1">
      <alignment vertical="top"/>
    </xf>
    <xf numFmtId="0" fontId="0" fillId="0" borderId="15" xfId="0" quotePrefix="1" applyBorder="1" applyAlignment="1">
      <alignment vertical="top"/>
    </xf>
    <xf numFmtId="0" fontId="40" fillId="0" borderId="0" xfId="12" applyFont="1"/>
    <xf numFmtId="0" fontId="41" fillId="0" borderId="0" xfId="0" applyFont="1"/>
    <xf numFmtId="0" fontId="40" fillId="0" borderId="0" xfId="12" applyFont="1" applyAlignment="1">
      <alignment horizontal="center" vertical="top"/>
    </xf>
    <xf numFmtId="0" fontId="40" fillId="0" borderId="0" xfId="12" applyFont="1" applyAlignment="1">
      <alignment vertical="top"/>
    </xf>
    <xf numFmtId="0" fontId="40" fillId="0" borderId="0" xfId="13" applyFont="1"/>
    <xf numFmtId="0" fontId="43" fillId="0" borderId="0" xfId="0" applyFont="1" applyAlignment="1">
      <alignment horizontal="center" vertical="center"/>
    </xf>
    <xf numFmtId="0" fontId="40" fillId="6" borderId="1" xfId="0" applyFont="1" applyFill="1" applyBorder="1" applyAlignment="1">
      <alignment vertical="center" wrapText="1"/>
    </xf>
    <xf numFmtId="0" fontId="0" fillId="6" borderId="1" xfId="0" applyFill="1" applyBorder="1"/>
    <xf numFmtId="0" fontId="40" fillId="6" borderId="1" xfId="0" applyFont="1" applyFill="1" applyBorder="1" applyAlignment="1">
      <alignment vertical="center"/>
    </xf>
    <xf numFmtId="0" fontId="44" fillId="0" borderId="0" xfId="0" applyFont="1"/>
    <xf numFmtId="0" fontId="40" fillId="8" borderId="1" xfId="0" applyFont="1" applyFill="1" applyBorder="1" applyAlignment="1">
      <alignment vertical="center" wrapText="1"/>
    </xf>
    <xf numFmtId="0" fontId="0" fillId="8" borderId="1" xfId="0" applyFill="1" applyBorder="1"/>
    <xf numFmtId="0" fontId="40" fillId="5" borderId="1" xfId="0" applyFont="1" applyFill="1" applyBorder="1" applyAlignment="1">
      <alignment vertical="center" wrapText="1"/>
    </xf>
    <xf numFmtId="0" fontId="0" fillId="5" borderId="1" xfId="0" applyFill="1" applyBorder="1"/>
    <xf numFmtId="0" fontId="40" fillId="5" borderId="1" xfId="0" applyFont="1" applyFill="1" applyBorder="1" applyAlignment="1">
      <alignment vertical="center"/>
    </xf>
    <xf numFmtId="0" fontId="45" fillId="0" borderId="33" xfId="13" applyFont="1" applyBorder="1"/>
    <xf numFmtId="0" fontId="45" fillId="0" borderId="34" xfId="13" applyFont="1" applyBorder="1" applyAlignment="1">
      <alignment horizontal="center"/>
    </xf>
    <xf numFmtId="0" fontId="44" fillId="0" borderId="1" xfId="0" applyFont="1" applyBorder="1"/>
    <xf numFmtId="0" fontId="44" fillId="7" borderId="1" xfId="0" applyFont="1" applyFill="1" applyBorder="1"/>
    <xf numFmtId="0" fontId="40" fillId="0" borderId="35" xfId="12" applyFont="1" applyBorder="1"/>
    <xf numFmtId="0" fontId="40" fillId="0" borderId="34" xfId="13" applyFont="1" applyBorder="1"/>
    <xf numFmtId="0" fontId="40" fillId="0" borderId="34" xfId="13" applyFont="1" applyBorder="1" applyAlignment="1">
      <alignment horizontal="center" vertical="center"/>
    </xf>
    <xf numFmtId="0" fontId="44" fillId="9" borderId="1" xfId="0" applyFont="1" applyFill="1" applyBorder="1"/>
    <xf numFmtId="0" fontId="40" fillId="0" borderId="34" xfId="12" applyFont="1" applyBorder="1"/>
    <xf numFmtId="0" fontId="40" fillId="0" borderId="0" xfId="12" applyFont="1" applyAlignment="1">
      <alignment horizontal="center" vertical="center"/>
    </xf>
    <xf numFmtId="0" fontId="43" fillId="0" borderId="20" xfId="0" applyFont="1" applyBorder="1" applyAlignment="1">
      <alignment horizontal="center" vertical="center"/>
    </xf>
    <xf numFmtId="0" fontId="45" fillId="0" borderId="1" xfId="13" applyFont="1" applyBorder="1" applyAlignment="1">
      <alignment horizontal="center"/>
    </xf>
    <xf numFmtId="0" fontId="45" fillId="0" borderId="36" xfId="13" applyFont="1" applyBorder="1" applyAlignment="1">
      <alignment horizontal="center"/>
    </xf>
    <xf numFmtId="0" fontId="45" fillId="0" borderId="33" xfId="13" applyFont="1" applyBorder="1" applyAlignment="1">
      <alignment horizontal="center" vertical="center"/>
    </xf>
    <xf numFmtId="0" fontId="40" fillId="0" borderId="1" xfId="12" applyFont="1" applyBorder="1"/>
    <xf numFmtId="0" fontId="40" fillId="0" borderId="1" xfId="12" applyFont="1" applyBorder="1" applyAlignment="1">
      <alignment horizontal="center" vertical="center"/>
    </xf>
    <xf numFmtId="0" fontId="40" fillId="0" borderId="1" xfId="12" applyFont="1" applyBorder="1" applyAlignment="1">
      <alignment horizontal="center" vertical="top"/>
    </xf>
    <xf numFmtId="0" fontId="43" fillId="0" borderId="1" xfId="0" applyFont="1" applyBorder="1" applyAlignment="1">
      <alignment horizontal="center" vertical="center" wrapText="1"/>
    </xf>
    <xf numFmtId="0" fontId="45" fillId="0" borderId="1" xfId="13" applyFont="1" applyBorder="1" applyAlignment="1">
      <alignment horizontal="center" vertical="center"/>
    </xf>
    <xf numFmtId="0" fontId="40" fillId="10" borderId="1" xfId="0" applyFont="1" applyFill="1" applyBorder="1" applyAlignment="1">
      <alignment horizontal="left" vertical="center" wrapText="1"/>
    </xf>
    <xf numFmtId="0" fontId="40" fillId="10" borderId="1" xfId="0" applyFont="1" applyFill="1" applyBorder="1" applyAlignment="1">
      <alignment vertical="center" wrapText="1"/>
    </xf>
    <xf numFmtId="0" fontId="43" fillId="0" borderId="1" xfId="0" applyFont="1" applyBorder="1" applyAlignment="1">
      <alignment horizontal="center" vertical="center"/>
    </xf>
    <xf numFmtId="0" fontId="40" fillId="10" borderId="1" xfId="0" applyFont="1" applyFill="1" applyBorder="1" applyAlignment="1">
      <alignment horizontal="right" vertical="center" wrapText="1"/>
    </xf>
    <xf numFmtId="0" fontId="24" fillId="2" borderId="5" xfId="0" applyFont="1" applyFill="1" applyBorder="1" applyAlignment="1">
      <alignment horizontal="center" vertical="center"/>
    </xf>
    <xf numFmtId="0" fontId="24" fillId="2" borderId="0" xfId="0" applyFont="1" applyFill="1" applyAlignment="1">
      <alignment horizontal="center" vertical="center"/>
    </xf>
    <xf numFmtId="0" fontId="24" fillId="2" borderId="6" xfId="0" applyFont="1" applyFill="1" applyBorder="1" applyAlignment="1">
      <alignment horizontal="center" vertical="center"/>
    </xf>
    <xf numFmtId="0" fontId="20" fillId="2" borderId="0" xfId="0" applyFont="1" applyFill="1" applyAlignment="1">
      <alignment horizontal="left"/>
    </xf>
    <xf numFmtId="0" fontId="0" fillId="0" borderId="28" xfId="0" applyBorder="1" applyAlignment="1">
      <alignment horizontal="right"/>
    </xf>
    <xf numFmtId="0" fontId="0" fillId="0" borderId="29" xfId="0" applyBorder="1" applyAlignment="1">
      <alignment horizontal="right"/>
    </xf>
    <xf numFmtId="21" fontId="31" fillId="0" borderId="24" xfId="0" applyNumberFormat="1" applyFont="1" applyBorder="1" applyAlignment="1">
      <alignment horizontal="center" vertical="center"/>
    </xf>
    <xf numFmtId="21" fontId="31" fillId="0" borderId="27" xfId="0" applyNumberFormat="1" applyFont="1" applyBorder="1" applyAlignment="1">
      <alignment horizontal="center" vertical="center"/>
    </xf>
    <xf numFmtId="0" fontId="0" fillId="0" borderId="31" xfId="0" applyBorder="1" applyAlignment="1">
      <alignment horizontal="right"/>
    </xf>
    <xf numFmtId="0" fontId="0" fillId="0" borderId="32" xfId="0" applyBorder="1" applyAlignment="1">
      <alignment horizontal="right"/>
    </xf>
    <xf numFmtId="0" fontId="31" fillId="0" borderId="24" xfId="0" applyFont="1" applyBorder="1" applyAlignment="1">
      <alignment horizontal="center" vertical="center"/>
    </xf>
    <xf numFmtId="0" fontId="31" fillId="0" borderId="23" xfId="0" applyFont="1" applyBorder="1" applyAlignment="1">
      <alignment horizontal="center" vertical="center"/>
    </xf>
    <xf numFmtId="0" fontId="31" fillId="0" borderId="25" xfId="0" applyFont="1" applyBorder="1" applyAlignment="1">
      <alignment horizontal="center" vertical="center"/>
    </xf>
    <xf numFmtId="0" fontId="3" fillId="0" borderId="37" xfId="0" applyFont="1" applyBorder="1"/>
    <xf numFmtId="0" fontId="46" fillId="0" borderId="0" xfId="0" applyFont="1"/>
    <xf numFmtId="0" fontId="40" fillId="0" borderId="0" xfId="12" applyFont="1" applyAlignment="1">
      <alignment horizontal="center"/>
    </xf>
    <xf numFmtId="0" fontId="40" fillId="0" borderId="0" xfId="12" applyFont="1" applyAlignment="1">
      <alignment horizontal="left" vertical="top"/>
    </xf>
    <xf numFmtId="0" fontId="42" fillId="0" borderId="0" xfId="13"/>
    <xf numFmtId="0" fontId="43" fillId="0" borderId="0" xfId="0" applyFont="1" applyAlignment="1">
      <alignment horizontal="center" vertical="center" wrapText="1"/>
    </xf>
    <xf numFmtId="0" fontId="40" fillId="7" borderId="1" xfId="0" applyFont="1" applyFill="1" applyBorder="1" applyAlignment="1">
      <alignment horizontal="left" vertical="center" wrapText="1"/>
    </xf>
    <xf numFmtId="0" fontId="40" fillId="7" borderId="1" xfId="0" applyFont="1" applyFill="1" applyBorder="1" applyAlignment="1">
      <alignment vertical="center" wrapText="1"/>
    </xf>
    <xf numFmtId="0" fontId="40" fillId="11" borderId="1" xfId="0" applyFont="1" applyFill="1" applyBorder="1" applyAlignment="1">
      <alignment horizontal="left" vertical="center" wrapText="1"/>
    </xf>
    <xf numFmtId="0" fontId="40" fillId="11" borderId="1" xfId="0" applyFont="1" applyFill="1" applyBorder="1" applyAlignment="1">
      <alignment vertical="center" wrapText="1"/>
    </xf>
    <xf numFmtId="0" fontId="47" fillId="0" borderId="0" xfId="12" applyFont="1" applyAlignment="1">
      <alignment horizontal="left" vertical="top"/>
    </xf>
    <xf numFmtId="0" fontId="47" fillId="0" borderId="0" xfId="12" applyFont="1" applyAlignment="1">
      <alignment horizontal="center" vertical="top"/>
    </xf>
    <xf numFmtId="0" fontId="47" fillId="0" borderId="0" xfId="12" applyFont="1" applyAlignment="1">
      <alignment vertical="top"/>
    </xf>
    <xf numFmtId="0" fontId="48" fillId="0" borderId="0" xfId="12" applyFont="1" applyAlignment="1">
      <alignment horizontal="left" vertical="top"/>
    </xf>
    <xf numFmtId="0" fontId="48" fillId="0" borderId="0" xfId="12" applyFont="1" applyAlignment="1">
      <alignment horizontal="center" vertical="top"/>
    </xf>
    <xf numFmtId="0" fontId="48" fillId="0" borderId="0" xfId="12" applyFont="1" applyAlignment="1">
      <alignment vertical="top"/>
    </xf>
    <xf numFmtId="0" fontId="40" fillId="12" borderId="1" xfId="0" applyFont="1" applyFill="1" applyBorder="1" applyAlignment="1">
      <alignment vertical="center" wrapText="1"/>
    </xf>
    <xf numFmtId="0" fontId="40" fillId="12" borderId="1" xfId="0" applyFont="1" applyFill="1" applyBorder="1" applyAlignment="1">
      <alignment horizontal="right" vertical="center" wrapText="1"/>
    </xf>
    <xf numFmtId="0" fontId="40" fillId="12" borderId="1" xfId="0" applyFont="1" applyFill="1" applyBorder="1" applyAlignment="1">
      <alignment vertical="center"/>
    </xf>
    <xf numFmtId="0" fontId="45" fillId="0" borderId="33" xfId="13" applyFont="1" applyBorder="1" applyAlignment="1">
      <alignment horizontal="center"/>
    </xf>
    <xf numFmtId="0" fontId="40" fillId="0" borderId="1" xfId="13" applyFont="1" applyBorder="1"/>
    <xf numFmtId="0" fontId="40" fillId="0" borderId="35" xfId="13" applyFont="1" applyBorder="1" applyAlignment="1">
      <alignment horizontal="center" vertical="center"/>
    </xf>
    <xf numFmtId="0" fontId="40" fillId="0" borderId="20" xfId="12" applyFont="1" applyBorder="1"/>
    <xf numFmtId="0" fontId="40" fillId="0" borderId="20" xfId="13" applyFont="1" applyBorder="1"/>
    <xf numFmtId="0" fontId="40" fillId="0" borderId="36" xfId="13" applyFont="1" applyBorder="1" applyAlignment="1">
      <alignment horizontal="center" vertical="center"/>
    </xf>
    <xf numFmtId="0" fontId="40" fillId="0" borderId="1" xfId="13" applyFont="1" applyBorder="1" applyAlignment="1">
      <alignment horizontal="center" vertical="center"/>
    </xf>
    <xf numFmtId="0" fontId="40" fillId="0" borderId="10" xfId="12" applyFont="1" applyBorder="1"/>
    <xf numFmtId="0" fontId="44" fillId="5" borderId="1" xfId="0" applyFont="1" applyFill="1" applyBorder="1"/>
    <xf numFmtId="0" fontId="49" fillId="0" borderId="0" xfId="0" quotePrefix="1" applyFont="1"/>
    <xf numFmtId="0" fontId="13" fillId="0" borderId="0" xfId="0" quotePrefix="1" applyFont="1" applyBorder="1" applyAlignment="1">
      <alignment vertical="top"/>
    </xf>
    <xf numFmtId="0" fontId="3" fillId="0" borderId="0" xfId="0" applyFont="1" applyBorder="1"/>
    <xf numFmtId="0" fontId="0" fillId="0" borderId="1" xfId="0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4" borderId="1" xfId="0" applyFill="1" applyBorder="1"/>
    <xf numFmtId="10" fontId="0" fillId="15" borderId="1" xfId="0" applyNumberFormat="1" applyFill="1" applyBorder="1" applyAlignment="1">
      <alignment horizontal="center"/>
    </xf>
    <xf numFmtId="0" fontId="0" fillId="15" borderId="1" xfId="0" applyFill="1" applyBorder="1" applyAlignment="1">
      <alignment horizontal="center"/>
    </xf>
    <xf numFmtId="0" fontId="0" fillId="0" borderId="0" xfId="0" applyAlignment="1">
      <alignment horizontal="right"/>
    </xf>
    <xf numFmtId="0" fontId="0" fillId="6" borderId="1" xfId="0" applyFill="1" applyBorder="1" applyAlignment="1">
      <alignment horizontal="left"/>
    </xf>
    <xf numFmtId="0" fontId="0" fillId="4" borderId="1" xfId="0" applyFill="1" applyBorder="1" applyAlignment="1">
      <alignment horizontal="left"/>
    </xf>
    <xf numFmtId="0" fontId="0" fillId="15" borderId="1" xfId="0" applyFill="1" applyBorder="1" applyAlignment="1">
      <alignment horizontal="left"/>
    </xf>
    <xf numFmtId="0" fontId="0" fillId="16" borderId="1" xfId="0" applyFill="1" applyBorder="1" applyAlignment="1">
      <alignment horizontal="left"/>
    </xf>
    <xf numFmtId="0" fontId="0" fillId="14" borderId="1" xfId="0" applyFill="1" applyBorder="1" applyAlignment="1">
      <alignment horizontal="left"/>
    </xf>
    <xf numFmtId="0" fontId="51" fillId="0" borderId="0" xfId="0" quotePrefix="1" applyFont="1"/>
    <xf numFmtId="10" fontId="0" fillId="6" borderId="10" xfId="0" applyNumberFormat="1" applyFill="1" applyBorder="1" applyAlignment="1">
      <alignment horizontal="center"/>
    </xf>
    <xf numFmtId="10" fontId="0" fillId="4" borderId="10" xfId="0" applyNumberFormat="1" applyFill="1" applyBorder="1" applyAlignment="1">
      <alignment horizontal="center"/>
    </xf>
    <xf numFmtId="10" fontId="0" fillId="15" borderId="10" xfId="0" applyNumberFormat="1" applyFill="1" applyBorder="1" applyAlignment="1">
      <alignment horizontal="center"/>
    </xf>
    <xf numFmtId="0" fontId="0" fillId="0" borderId="38" xfId="0" applyBorder="1" applyAlignment="1">
      <alignment horizontal="center"/>
    </xf>
    <xf numFmtId="10" fontId="0" fillId="15" borderId="38" xfId="0" applyNumberFormat="1" applyFill="1" applyBorder="1" applyAlignment="1">
      <alignment horizontal="center"/>
    </xf>
    <xf numFmtId="0" fontId="0" fillId="15" borderId="38" xfId="0" applyFill="1" applyBorder="1" applyAlignment="1">
      <alignment horizontal="center"/>
    </xf>
    <xf numFmtId="0" fontId="0" fillId="17" borderId="25" xfId="0" applyFill="1" applyBorder="1" applyAlignment="1">
      <alignment horizontal="center"/>
    </xf>
    <xf numFmtId="0" fontId="0" fillId="17" borderId="26" xfId="0" applyFill="1" applyBorder="1" applyAlignment="1">
      <alignment horizontal="center"/>
    </xf>
    <xf numFmtId="0" fontId="0" fillId="17" borderId="41" xfId="0" applyFill="1" applyBorder="1" applyAlignment="1">
      <alignment horizontal="center"/>
    </xf>
    <xf numFmtId="10" fontId="0" fillId="4" borderId="29" xfId="0" applyNumberForma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14" borderId="30" xfId="0" applyFill="1" applyBorder="1"/>
    <xf numFmtId="0" fontId="0" fillId="0" borderId="42" xfId="0" applyBorder="1" applyAlignment="1">
      <alignment horizontal="center"/>
    </xf>
    <xf numFmtId="10" fontId="0" fillId="15" borderId="29" xfId="0" applyNumberFormat="1" applyFill="1" applyBorder="1" applyAlignment="1">
      <alignment horizontal="center"/>
    </xf>
    <xf numFmtId="10" fontId="0" fillId="15" borderId="30" xfId="0" applyNumberFormat="1" applyFill="1" applyBorder="1" applyAlignment="1">
      <alignment horizontal="center"/>
    </xf>
    <xf numFmtId="10" fontId="0" fillId="15" borderId="42" xfId="0" applyNumberFormat="1" applyFill="1" applyBorder="1" applyAlignment="1">
      <alignment horizontal="center"/>
    </xf>
    <xf numFmtId="10" fontId="0" fillId="6" borderId="29" xfId="0" applyNumberFormat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15" borderId="42" xfId="0" applyFill="1" applyBorder="1" applyAlignment="1">
      <alignment horizontal="center"/>
    </xf>
    <xf numFmtId="0" fontId="0" fillId="14" borderId="30" xfId="0" applyFill="1" applyBorder="1" applyAlignment="1">
      <alignment horizontal="center"/>
    </xf>
    <xf numFmtId="0" fontId="50" fillId="0" borderId="40" xfId="0" applyFont="1" applyBorder="1" applyAlignment="1">
      <alignment horizontal="right" vertical="center" wrapText="1"/>
    </xf>
    <xf numFmtId="0" fontId="50" fillId="0" borderId="32" xfId="0" applyFont="1" applyBorder="1" applyAlignment="1">
      <alignment horizontal="right" vertical="center" wrapText="1"/>
    </xf>
    <xf numFmtId="0" fontId="0" fillId="17" borderId="43" xfId="0" applyFill="1" applyBorder="1" applyAlignment="1">
      <alignment horizontal="center"/>
    </xf>
    <xf numFmtId="0" fontId="50" fillId="0" borderId="45" xfId="0" applyFont="1" applyBorder="1" applyAlignment="1">
      <alignment vertical="center" wrapText="1"/>
    </xf>
    <xf numFmtId="0" fontId="50" fillId="0" borderId="46" xfId="0" applyFont="1" applyBorder="1" applyAlignment="1">
      <alignment vertical="center" wrapText="1"/>
    </xf>
    <xf numFmtId="0" fontId="0" fillId="17" borderId="47" xfId="0" applyFill="1" applyBorder="1" applyAlignment="1">
      <alignment horizontal="center" vertical="center"/>
    </xf>
    <xf numFmtId="0" fontId="0" fillId="13" borderId="48" xfId="0" applyFill="1" applyBorder="1"/>
    <xf numFmtId="0" fontId="0" fillId="13" borderId="44" xfId="0" quotePrefix="1" applyFill="1" applyBorder="1" applyAlignment="1">
      <alignment horizontal="center"/>
    </xf>
    <xf numFmtId="10" fontId="0" fillId="13" borderId="11" xfId="0" applyNumberFormat="1" applyFill="1" applyBorder="1" applyAlignment="1">
      <alignment horizontal="center"/>
    </xf>
    <xf numFmtId="0" fontId="0" fillId="13" borderId="21" xfId="0" applyFill="1" applyBorder="1" applyAlignment="1">
      <alignment horizontal="center"/>
    </xf>
    <xf numFmtId="0" fontId="0" fillId="13" borderId="39" xfId="0" applyFill="1" applyBorder="1" applyAlignment="1">
      <alignment horizontal="center"/>
    </xf>
    <xf numFmtId="0" fontId="0" fillId="17" borderId="49" xfId="0" applyFill="1" applyBorder="1" applyAlignment="1">
      <alignment horizontal="center" vertical="center"/>
    </xf>
    <xf numFmtId="0" fontId="0" fillId="17" borderId="50" xfId="0" applyFill="1" applyBorder="1" applyAlignment="1">
      <alignment horizontal="center"/>
    </xf>
    <xf numFmtId="0" fontId="0" fillId="17" borderId="29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0" fillId="17" borderId="42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5" borderId="1" xfId="0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30" xfId="0" applyFill="1" applyBorder="1" applyAlignment="1">
      <alignment horizontal="center"/>
    </xf>
    <xf numFmtId="0" fontId="29" fillId="0" borderId="1" xfId="0" applyFont="1" applyBorder="1" applyAlignment="1">
      <alignment vertical="top"/>
    </xf>
    <xf numFmtId="0" fontId="0" fillId="0" borderId="1" xfId="0" applyFont="1" applyBorder="1" applyAlignment="1">
      <alignment vertical="top"/>
    </xf>
    <xf numFmtId="0" fontId="40" fillId="0" borderId="0" xfId="12" applyFont="1" applyAlignment="1">
      <alignment vertical="center"/>
    </xf>
    <xf numFmtId="0" fontId="40" fillId="9" borderId="1" xfId="12" applyFont="1" applyFill="1" applyBorder="1" applyAlignment="1">
      <alignment horizontal="center" vertical="center"/>
    </xf>
    <xf numFmtId="0" fontId="52" fillId="0" borderId="1" xfId="12" applyFont="1" applyBorder="1" applyAlignment="1">
      <alignment horizontal="center" vertical="center"/>
    </xf>
    <xf numFmtId="0" fontId="52" fillId="0" borderId="0" xfId="12" applyFont="1" applyAlignment="1">
      <alignment vertical="center"/>
    </xf>
    <xf numFmtId="0" fontId="52" fillId="9" borderId="1" xfId="12" applyFont="1" applyFill="1" applyBorder="1" applyAlignment="1">
      <alignment horizontal="center" vertical="center"/>
    </xf>
    <xf numFmtId="0" fontId="52" fillId="0" borderId="1" xfId="13" applyFont="1" applyBorder="1" applyAlignment="1">
      <alignment horizontal="center" vertical="center"/>
    </xf>
  </cellXfs>
  <cellStyles count="14">
    <cellStyle name="Hyperlink 2" xfId="3" xr:uid="{C6492B0A-D382-4F6F-8794-74646150D788}"/>
    <cellStyle name="Hyperlink 3" xfId="8" xr:uid="{38B21F06-0ABA-46F7-AEA3-930DEE0412D4}"/>
    <cellStyle name="Normal" xfId="0" builtinId="0"/>
    <cellStyle name="Normal 2" xfId="1" xr:uid="{00000000-0005-0000-0000-000001000000}"/>
    <cellStyle name="Normal 2 2 2" xfId="12" xr:uid="{293B727D-AAD8-4D74-913E-315ABEF90B71}"/>
    <cellStyle name="Normal 2 3" xfId="13" xr:uid="{C29C8ACD-1A0D-4969-87B1-6AE2214C1D56}"/>
    <cellStyle name="Normal 3" xfId="2" xr:uid="{00000000-0005-0000-0000-000002000000}"/>
    <cellStyle name="Normal 3 2" xfId="9" xr:uid="{B642378A-21B6-4257-8FC7-AEDAE4CD92FF}"/>
    <cellStyle name="Normal 4" xfId="4" xr:uid="{99627B8F-8386-4810-9E47-F30E95BA6F61}"/>
    <cellStyle name="標準 11" xfId="7" xr:uid="{450DA594-07EC-43EB-8617-8957DF3B68FD}"/>
    <cellStyle name="標準 2 5" xfId="11" xr:uid="{AAC1FB93-2119-42B8-B4D1-BCD44D8B5EE8}"/>
    <cellStyle name="標準 3" xfId="5" xr:uid="{F18CDDB3-1B06-4E90-8166-817127063B4B}"/>
    <cellStyle name="標準 3 2" xfId="10" xr:uid="{E7C12D10-B087-40FC-9BB8-16C65C5F8DEA}"/>
    <cellStyle name="標準 5" xfId="6" xr:uid="{42B21433-7F15-45D0-8244-1C5C9B78D5DD}"/>
  </cellStyles>
  <dxfs count="37"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FFFF"/>
      </font>
      <fill>
        <patternFill patternType="solid">
          <fgColor rgb="FFCC0000"/>
          <bgColor rgb="FFCC000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00B050"/>
        </patternFill>
      </fill>
    </dxf>
    <dxf>
      <font>
        <b/>
        <i val="0"/>
        <color rgb="FFFFFFFF"/>
      </font>
      <fill>
        <patternFill patternType="solid">
          <fgColor rgb="FFCC0000"/>
          <bgColor rgb="FFCC0000"/>
        </patternFill>
      </fill>
    </dxf>
    <dxf>
      <fill>
        <patternFill>
          <bgColor theme="0" tint="-0.24994659260841701"/>
        </patternFill>
      </fill>
    </dxf>
    <dxf>
      <font>
        <color rgb="FFFF0000"/>
      </font>
    </dxf>
    <dxf>
      <fill>
        <patternFill>
          <bgColor theme="0" tint="-0.24994659260841701"/>
        </patternFill>
      </fill>
    </dxf>
    <dxf>
      <font>
        <color rgb="FFFF0000"/>
      </font>
    </dxf>
    <dxf>
      <fill>
        <patternFill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00CC66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3"/>
      </font>
      <fill>
        <patternFill>
          <bgColor theme="2"/>
        </patternFill>
      </fill>
    </dxf>
    <dxf>
      <font>
        <color theme="3"/>
      </font>
    </dxf>
    <dxf>
      <font>
        <b val="0"/>
        <i val="0"/>
        <color theme="0"/>
      </font>
      <fill>
        <patternFill patternType="solid">
          <fgColor theme="4"/>
          <bgColor theme="3"/>
        </patternFill>
      </fill>
      <border diagonalUp="0" diagonalDown="0">
        <left/>
        <right/>
        <top/>
        <bottom/>
        <vertical/>
        <horizontal/>
      </border>
    </dxf>
    <dxf>
      <font>
        <color theme="1"/>
      </font>
      <border diagonalUp="0" diagonalDown="0">
        <left/>
        <right/>
        <top/>
        <bottom/>
        <vertical style="thin">
          <color theme="3" tint="0.59996337778862885"/>
        </vertical>
        <horizontal/>
      </border>
    </dxf>
  </dxfs>
  <tableStyles count="1" defaultTableStyle="TableStyleMedium2" defaultPivotStyle="PivotStyleLight16">
    <tableStyle name="Project Timeline" pivot="0" count="4" xr9:uid="{00000000-0011-0000-FFFF-FFFF00000000}">
      <tableStyleElement type="wholeTable" dxfId="36"/>
      <tableStyleElement type="headerRow" dxfId="35"/>
      <tableStyleElement type="firstRowStripe" dxfId="34"/>
      <tableStyleElement type="secondRowStripe" dxfId="33"/>
    </tableStyle>
  </tableStyles>
  <colors>
    <mruColors>
      <color rgb="FF0033CC"/>
      <color rgb="FF0000CC"/>
      <color rgb="FFFF3F3F"/>
      <color rgb="FFFF9F5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504825</xdr:colOff>
      <xdr:row>7</xdr:row>
      <xdr:rowOff>85725</xdr:rowOff>
    </xdr:from>
    <xdr:to>
      <xdr:col>7</xdr:col>
      <xdr:colOff>542925</xdr:colOff>
      <xdr:row>12</xdr:row>
      <xdr:rowOff>142875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18A69E86-FBD6-C455-6D19-034838A4EB19}"/>
            </a:ext>
          </a:extLst>
        </xdr:cNvPr>
        <xdr:cNvSpPr/>
      </xdr:nvSpPr>
      <xdr:spPr>
        <a:xfrm>
          <a:off x="714375" y="809625"/>
          <a:ext cx="9363075" cy="94297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2</xdr:col>
      <xdr:colOff>752475</xdr:colOff>
      <xdr:row>13</xdr:row>
      <xdr:rowOff>76200</xdr:rowOff>
    </xdr:from>
    <xdr:to>
      <xdr:col>8</xdr:col>
      <xdr:colOff>609600</xdr:colOff>
      <xdr:row>25</xdr:row>
      <xdr:rowOff>85725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FCB165E6-9AB2-4DF0-93E4-69936987FB6E}"/>
            </a:ext>
          </a:extLst>
        </xdr:cNvPr>
        <xdr:cNvSpPr/>
      </xdr:nvSpPr>
      <xdr:spPr>
        <a:xfrm>
          <a:off x="1657350" y="1847850"/>
          <a:ext cx="9363075" cy="21431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vi-VN" sz="1100"/>
        </a:p>
      </xdr:txBody>
    </xdr:sp>
    <xdr:clientData/>
  </xdr:twoCellAnchor>
  <xdr:twoCellAnchor>
    <xdr:from>
      <xdr:col>7</xdr:col>
      <xdr:colOff>542925</xdr:colOff>
      <xdr:row>10</xdr:row>
      <xdr:rowOff>33338</xdr:rowOff>
    </xdr:from>
    <xdr:to>
      <xdr:col>8</xdr:col>
      <xdr:colOff>0</xdr:colOff>
      <xdr:row>11</xdr:row>
      <xdr:rowOff>85725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66395A30-4F13-C43C-891E-ADAD75F4A651}"/>
            </a:ext>
          </a:extLst>
        </xdr:cNvPr>
        <xdr:cNvCxnSpPr>
          <a:endCxn id="2" idx="6"/>
        </xdr:cNvCxnSpPr>
      </xdr:nvCxnSpPr>
      <xdr:spPr>
        <a:xfrm flipH="1" flipV="1">
          <a:off x="10077450" y="1281113"/>
          <a:ext cx="333375" cy="233362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1190625</xdr:colOff>
      <xdr:row>11</xdr:row>
      <xdr:rowOff>142875</xdr:rowOff>
    </xdr:from>
    <xdr:to>
      <xdr:col>8</xdr:col>
      <xdr:colOff>19050</xdr:colOff>
      <xdr:row>14</xdr:row>
      <xdr:rowOff>95250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93D91193-BE62-47AB-A408-1F0BBADD5B24}"/>
            </a:ext>
          </a:extLst>
        </xdr:cNvPr>
        <xdr:cNvCxnSpPr/>
      </xdr:nvCxnSpPr>
      <xdr:spPr>
        <a:xfrm flipH="1">
          <a:off x="8734425" y="1571625"/>
          <a:ext cx="1695450" cy="4572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238125</xdr:colOff>
      <xdr:row>8</xdr:row>
      <xdr:rowOff>9525</xdr:rowOff>
    </xdr:from>
    <xdr:to>
      <xdr:col>10</xdr:col>
      <xdr:colOff>533400</xdr:colOff>
      <xdr:row>29</xdr:row>
      <xdr:rowOff>42962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4139FF1-BC66-4270-8975-DE46CA2B9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" y="1781175"/>
          <a:ext cx="10239375" cy="4233962"/>
        </a:xfrm>
        <a:prstGeom prst="rect">
          <a:avLst/>
        </a:prstGeom>
      </xdr:spPr>
    </xdr:pic>
    <xdr:clientData/>
  </xdr:twoCellAnchor>
  <xdr:twoCellAnchor>
    <xdr:from>
      <xdr:col>12</xdr:col>
      <xdr:colOff>171450</xdr:colOff>
      <xdr:row>12</xdr:row>
      <xdr:rowOff>180976</xdr:rowOff>
    </xdr:from>
    <xdr:to>
      <xdr:col>17</xdr:col>
      <xdr:colOff>85725</xdr:colOff>
      <xdr:row>16</xdr:row>
      <xdr:rowOff>28576</xdr:rowOff>
    </xdr:to>
    <xdr:sp macro="" textlink="">
      <xdr:nvSpPr>
        <xdr:cNvPr id="3" name="Callout: Line 2">
          <a:extLst>
            <a:ext uri="{FF2B5EF4-FFF2-40B4-BE49-F238E27FC236}">
              <a16:creationId xmlns:a16="http://schemas.microsoft.com/office/drawing/2014/main" id="{B10AC2A2-DB70-80E9-0911-EF4689C87AEC}"/>
            </a:ext>
          </a:extLst>
        </xdr:cNvPr>
        <xdr:cNvSpPr/>
      </xdr:nvSpPr>
      <xdr:spPr>
        <a:xfrm>
          <a:off x="11449050" y="2752726"/>
          <a:ext cx="3248025" cy="647700"/>
        </a:xfrm>
        <a:prstGeom prst="borderCallout1">
          <a:avLst>
            <a:gd name="adj1" fmla="val 14338"/>
            <a:gd name="adj2" fmla="val -122"/>
            <a:gd name="adj3" fmla="val 102206"/>
            <a:gd name="adj4" fmla="val -31881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rgbClr val="FF0000"/>
              </a:solidFill>
            </a:rPr>
            <a:t>This</a:t>
          </a:r>
          <a:r>
            <a:rPr lang="en-US" sz="1400" baseline="0">
              <a:solidFill>
                <a:srgbClr val="FF0000"/>
              </a:solidFill>
            </a:rPr>
            <a:t> table is extracted from coverage report by VCS or Xcelum</a:t>
          </a:r>
          <a:endParaRPr lang="vi-VN" sz="1400">
            <a:solidFill>
              <a:srgbClr val="FF0000"/>
            </a:solidFill>
          </a:endParaRPr>
        </a:p>
      </xdr:txBody>
    </xdr:sp>
    <xdr:clientData/>
  </xdr:twoCellAnchor>
  <xdr:twoCellAnchor>
    <xdr:from>
      <xdr:col>8</xdr:col>
      <xdr:colOff>647700</xdr:colOff>
      <xdr:row>42</xdr:row>
      <xdr:rowOff>219076</xdr:rowOff>
    </xdr:from>
    <xdr:to>
      <xdr:col>19</xdr:col>
      <xdr:colOff>76200</xdr:colOff>
      <xdr:row>46</xdr:row>
      <xdr:rowOff>9526</xdr:rowOff>
    </xdr:to>
    <xdr:sp macro="" textlink="">
      <xdr:nvSpPr>
        <xdr:cNvPr id="6" name="Callout: Line 5">
          <a:extLst>
            <a:ext uri="{FF2B5EF4-FFF2-40B4-BE49-F238E27FC236}">
              <a16:creationId xmlns:a16="http://schemas.microsoft.com/office/drawing/2014/main" id="{A0483D80-7C51-4E0E-A6C3-D6A4AA291FC4}"/>
            </a:ext>
          </a:extLst>
        </xdr:cNvPr>
        <xdr:cNvSpPr/>
      </xdr:nvSpPr>
      <xdr:spPr>
        <a:xfrm>
          <a:off x="9258300" y="8943976"/>
          <a:ext cx="6762750" cy="647700"/>
        </a:xfrm>
        <a:prstGeom prst="borderCallout1">
          <a:avLst>
            <a:gd name="adj1" fmla="val 36397"/>
            <a:gd name="adj2" fmla="val -727"/>
            <a:gd name="adj3" fmla="val -102206"/>
            <a:gd name="adj4" fmla="val -19372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rgbClr val="FF0000"/>
              </a:solidFill>
            </a:rPr>
            <a:t>Please</a:t>
          </a:r>
          <a:r>
            <a:rPr lang="en-US" sz="1400" baseline="0">
              <a:solidFill>
                <a:srgbClr val="FF0000"/>
              </a:solidFill>
            </a:rPr>
            <a:t> analyze the result first. Then review each item carefully and judgement follow the color-coded instruction marked as *REMARK</a:t>
          </a:r>
          <a:endParaRPr lang="vi-VN" sz="1400">
            <a:solidFill>
              <a:srgbClr val="FF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M47"/>
  <sheetViews>
    <sheetView showGridLines="0" topLeftCell="A27" zoomScaleNormal="100" zoomScalePageLayoutView="70" workbookViewId="0">
      <selection activeCell="S14" sqref="S14"/>
    </sheetView>
  </sheetViews>
  <sheetFormatPr defaultRowHeight="14.25"/>
  <cols>
    <col min="1" max="13" width="7.375" customWidth="1"/>
    <col min="15" max="18" width="9" customWidth="1"/>
  </cols>
  <sheetData>
    <row r="1" spans="1:13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3"/>
    </row>
    <row r="2" spans="1:13">
      <c r="A2" s="4"/>
      <c r="M2" s="5"/>
    </row>
    <row r="3" spans="1:13">
      <c r="A3" s="4"/>
      <c r="M3" s="5"/>
    </row>
    <row r="4" spans="1:13">
      <c r="A4" s="4"/>
      <c r="M4" s="5"/>
    </row>
    <row r="5" spans="1:13">
      <c r="A5" s="4"/>
      <c r="M5" s="5"/>
    </row>
    <row r="6" spans="1:13">
      <c r="A6" s="4"/>
      <c r="M6" s="5"/>
    </row>
    <row r="7" spans="1:13">
      <c r="A7" s="4"/>
      <c r="M7" s="5"/>
    </row>
    <row r="8" spans="1:13">
      <c r="A8" s="4"/>
      <c r="M8" s="5"/>
    </row>
    <row r="9" spans="1:13">
      <c r="A9" s="4"/>
      <c r="M9" s="5"/>
    </row>
    <row r="10" spans="1:13">
      <c r="A10" s="4"/>
      <c r="M10" s="5"/>
    </row>
    <row r="11" spans="1:13">
      <c r="A11" s="4"/>
      <c r="M11" s="5"/>
    </row>
    <row r="12" spans="1:13">
      <c r="A12" s="4"/>
      <c r="M12" s="5"/>
    </row>
    <row r="13" spans="1:13">
      <c r="A13" s="4"/>
      <c r="M13" s="5"/>
    </row>
    <row r="14" spans="1:13">
      <c r="A14" s="4"/>
      <c r="M14" s="5"/>
    </row>
    <row r="15" spans="1:13">
      <c r="A15" s="4"/>
      <c r="M15" s="5"/>
    </row>
    <row r="16" spans="1:13">
      <c r="A16" s="4"/>
      <c r="M16" s="5"/>
    </row>
    <row r="17" spans="1:13">
      <c r="A17" s="4"/>
      <c r="M17" s="5"/>
    </row>
    <row r="18" spans="1:13">
      <c r="A18" s="4"/>
      <c r="M18" s="5"/>
    </row>
    <row r="19" spans="1:13">
      <c r="A19" s="4"/>
      <c r="M19" s="5"/>
    </row>
    <row r="20" spans="1:13">
      <c r="A20" s="4"/>
      <c r="M20" s="5"/>
    </row>
    <row r="21" spans="1:13">
      <c r="A21" s="4"/>
      <c r="M21" s="5"/>
    </row>
    <row r="22" spans="1:13">
      <c r="A22" s="136" t="s">
        <v>21</v>
      </c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8"/>
    </row>
    <row r="23" spans="1:13">
      <c r="A23" s="136"/>
      <c r="B23" s="137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8"/>
    </row>
    <row r="24" spans="1:13">
      <c r="A24" s="136"/>
      <c r="B24" s="137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8"/>
    </row>
    <row r="25" spans="1:13">
      <c r="A25" s="136"/>
      <c r="B25" s="137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8"/>
    </row>
    <row r="26" spans="1:13">
      <c r="A26" s="136"/>
      <c r="B26" s="137"/>
      <c r="C26" s="137"/>
      <c r="D26" s="137"/>
      <c r="E26" s="137"/>
      <c r="F26" s="137"/>
      <c r="G26" s="137"/>
      <c r="H26" s="137"/>
      <c r="I26" s="137"/>
      <c r="J26" s="137"/>
      <c r="K26" s="137"/>
      <c r="L26" s="137"/>
      <c r="M26" s="138"/>
    </row>
    <row r="27" spans="1:13" ht="20.25" customHeight="1">
      <c r="A27" s="4"/>
      <c r="L27" s="9"/>
      <c r="M27" s="10"/>
    </row>
    <row r="28" spans="1:13" ht="20.25" customHeight="1">
      <c r="A28" s="4"/>
      <c r="H28" s="46" t="s">
        <v>6</v>
      </c>
      <c r="I28" s="47"/>
      <c r="J28" s="47" t="s">
        <v>8</v>
      </c>
      <c r="K28" s="47"/>
      <c r="L28" s="22"/>
      <c r="M28" s="10"/>
    </row>
    <row r="29" spans="1:13" ht="24">
      <c r="A29" s="4"/>
      <c r="H29" s="46" t="s">
        <v>11</v>
      </c>
      <c r="I29" s="47"/>
      <c r="J29" s="47" t="s">
        <v>19</v>
      </c>
      <c r="K29" s="47"/>
      <c r="L29" s="22"/>
      <c r="M29" s="5"/>
    </row>
    <row r="30" spans="1:13" ht="24">
      <c r="A30" s="4"/>
      <c r="H30" s="46" t="s">
        <v>3</v>
      </c>
      <c r="I30" s="47"/>
      <c r="J30" s="47" t="s">
        <v>19</v>
      </c>
      <c r="K30" s="47"/>
      <c r="L30" s="22"/>
      <c r="M30" s="5"/>
    </row>
    <row r="31" spans="1:13" ht="24">
      <c r="A31" s="4"/>
      <c r="H31" s="46" t="s">
        <v>13</v>
      </c>
      <c r="I31" s="47"/>
      <c r="J31" s="47" t="s">
        <v>19</v>
      </c>
      <c r="K31" s="47"/>
      <c r="L31" s="22"/>
      <c r="M31" s="5"/>
    </row>
    <row r="32" spans="1:13">
      <c r="A32" s="4"/>
      <c r="M32" s="5"/>
    </row>
    <row r="33" spans="1:13">
      <c r="A33" s="4"/>
      <c r="M33" s="5"/>
    </row>
    <row r="34" spans="1:13">
      <c r="A34" s="4"/>
      <c r="M34" s="5"/>
    </row>
    <row r="35" spans="1:13">
      <c r="A35" s="4"/>
      <c r="M35" s="5"/>
    </row>
    <row r="36" spans="1:13">
      <c r="A36" s="4"/>
      <c r="M36" s="5"/>
    </row>
    <row r="37" spans="1:13">
      <c r="A37" s="4"/>
      <c r="M37" s="5"/>
    </row>
    <row r="38" spans="1:13">
      <c r="A38" s="4"/>
      <c r="M38" s="5"/>
    </row>
    <row r="39" spans="1:13">
      <c r="A39" s="4"/>
      <c r="M39" s="5"/>
    </row>
    <row r="40" spans="1:13">
      <c r="A40" s="4"/>
      <c r="M40" s="5"/>
    </row>
    <row r="41" spans="1:13">
      <c r="A41" s="4"/>
      <c r="M41" s="5"/>
    </row>
    <row r="42" spans="1:13">
      <c r="A42" s="4"/>
      <c r="M42" s="5"/>
    </row>
    <row r="43" spans="1:13">
      <c r="A43" s="4"/>
      <c r="M43" s="5"/>
    </row>
    <row r="44" spans="1:13">
      <c r="A44" s="4"/>
      <c r="M44" s="5"/>
    </row>
    <row r="45" spans="1:13">
      <c r="A45" s="4"/>
      <c r="M45" s="5"/>
    </row>
    <row r="46" spans="1:13">
      <c r="A46" s="4"/>
      <c r="M46" s="5"/>
    </row>
    <row r="47" spans="1:13" ht="15" thickBot="1">
      <c r="A47" s="6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8"/>
    </row>
  </sheetData>
  <mergeCells count="1">
    <mergeCell ref="A22:M26"/>
  </mergeCells>
  <pageMargins left="0.41666666666666669" right="0.38541666666666669" top="0.47916666666666669" bottom="0.40625" header="0.10416666666666667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F48"/>
  <sheetViews>
    <sheetView showGridLines="0" zoomScaleNormal="100" workbookViewId="0">
      <selection activeCell="L10" sqref="L10"/>
    </sheetView>
  </sheetViews>
  <sheetFormatPr defaultRowHeight="14.25"/>
  <cols>
    <col min="1" max="1" width="3.625" bestFit="1" customWidth="1"/>
    <col min="2" max="2" width="8.75" customWidth="1"/>
    <col min="3" max="3" width="48.25" customWidth="1"/>
    <col min="4" max="4" width="11.625" customWidth="1"/>
    <col min="5" max="5" width="7.75" bestFit="1" customWidth="1"/>
    <col min="6" max="6" width="22.375" customWidth="1"/>
  </cols>
  <sheetData>
    <row r="2" spans="1:6" ht="23.25">
      <c r="A2" s="139" t="s">
        <v>10</v>
      </c>
      <c r="B2" s="139"/>
      <c r="C2" s="139"/>
      <c r="D2" s="139"/>
      <c r="E2" s="139"/>
      <c r="F2" s="139"/>
    </row>
    <row r="3" spans="1:6" ht="9" customHeight="1">
      <c r="A3" s="27"/>
      <c r="B3" s="27"/>
      <c r="C3" s="27"/>
      <c r="D3" s="27"/>
      <c r="E3" s="27"/>
      <c r="F3" s="27"/>
    </row>
    <row r="4" spans="1:6">
      <c r="A4" s="37" t="s">
        <v>7</v>
      </c>
      <c r="B4" s="28"/>
      <c r="C4" s="29"/>
      <c r="D4" s="30"/>
      <c r="E4" s="30"/>
      <c r="F4" s="30"/>
    </row>
    <row r="5" spans="1:6">
      <c r="A5" s="38" t="s">
        <v>14</v>
      </c>
      <c r="B5" s="30"/>
      <c r="C5" s="31"/>
      <c r="D5" s="30"/>
      <c r="E5" s="30"/>
      <c r="F5" s="30"/>
    </row>
    <row r="6" spans="1:6">
      <c r="A6" s="39" t="s">
        <v>15</v>
      </c>
      <c r="B6" s="32"/>
      <c r="C6" s="33"/>
      <c r="D6" s="30"/>
      <c r="E6" s="30"/>
      <c r="F6" s="30"/>
    </row>
    <row r="7" spans="1:6">
      <c r="A7" s="30"/>
      <c r="B7" s="30"/>
      <c r="C7" s="30"/>
      <c r="D7" s="30"/>
      <c r="E7" s="30"/>
      <c r="F7" s="30"/>
    </row>
    <row r="8" spans="1:6">
      <c r="A8" s="40" t="s">
        <v>0</v>
      </c>
      <c r="B8" s="41" t="s">
        <v>1</v>
      </c>
      <c r="C8" s="41" t="s">
        <v>2</v>
      </c>
      <c r="D8" s="41" t="s">
        <v>12</v>
      </c>
      <c r="E8" s="41" t="s">
        <v>6</v>
      </c>
      <c r="F8" s="41" t="s">
        <v>4</v>
      </c>
    </row>
    <row r="9" spans="1:6">
      <c r="A9" s="42">
        <v>1</v>
      </c>
      <c r="B9" s="43">
        <v>45663</v>
      </c>
      <c r="C9" s="44" t="s">
        <v>5</v>
      </c>
      <c r="D9" s="42" t="s">
        <v>20</v>
      </c>
      <c r="E9" s="42" t="s">
        <v>9</v>
      </c>
      <c r="F9" s="45"/>
    </row>
    <row r="10" spans="1:6">
      <c r="A10" s="34"/>
      <c r="B10" s="36"/>
      <c r="C10" s="35"/>
      <c r="D10" s="35"/>
      <c r="E10" s="35"/>
      <c r="F10" s="35"/>
    </row>
    <row r="11" spans="1:6">
      <c r="A11" s="34"/>
      <c r="B11" s="36"/>
      <c r="C11" s="35"/>
      <c r="D11" s="35"/>
      <c r="E11" s="35"/>
      <c r="F11" s="35"/>
    </row>
    <row r="12" spans="1:6">
      <c r="A12" s="34"/>
      <c r="B12" s="36"/>
      <c r="C12" s="35"/>
      <c r="D12" s="35"/>
      <c r="E12" s="35"/>
      <c r="F12" s="35"/>
    </row>
    <row r="13" spans="1:6">
      <c r="A13" s="34"/>
      <c r="B13" s="36"/>
      <c r="C13" s="35"/>
      <c r="D13" s="35"/>
      <c r="E13" s="35"/>
      <c r="F13" s="35"/>
    </row>
    <row r="14" spans="1:6">
      <c r="A14" s="34"/>
      <c r="B14" s="36"/>
      <c r="C14" s="35"/>
      <c r="D14" s="35"/>
      <c r="E14" s="35"/>
      <c r="F14" s="35"/>
    </row>
    <row r="15" spans="1:6">
      <c r="A15" s="34"/>
      <c r="B15" s="36"/>
      <c r="C15" s="35"/>
      <c r="D15" s="35"/>
      <c r="E15" s="35"/>
      <c r="F15" s="35"/>
    </row>
    <row r="16" spans="1:6">
      <c r="A16" s="34"/>
      <c r="B16" s="36"/>
      <c r="C16" s="35"/>
      <c r="D16" s="35"/>
      <c r="E16" s="35"/>
      <c r="F16" s="35"/>
    </row>
    <row r="17" spans="1:6">
      <c r="A17" s="34"/>
      <c r="B17" s="36"/>
      <c r="C17" s="35"/>
      <c r="D17" s="35"/>
      <c r="E17" s="35"/>
      <c r="F17" s="35"/>
    </row>
    <row r="18" spans="1:6">
      <c r="A18" s="34"/>
      <c r="B18" s="36"/>
      <c r="C18" s="35"/>
      <c r="D18" s="35"/>
      <c r="E18" s="35"/>
      <c r="F18" s="35"/>
    </row>
    <row r="19" spans="1:6">
      <c r="A19" s="34"/>
      <c r="B19" s="36"/>
      <c r="C19" s="35"/>
      <c r="D19" s="35"/>
      <c r="E19" s="35"/>
      <c r="F19" s="35"/>
    </row>
    <row r="20" spans="1:6">
      <c r="A20" s="35"/>
      <c r="B20" s="35"/>
      <c r="C20" s="35"/>
      <c r="D20" s="35"/>
      <c r="E20" s="35"/>
      <c r="F20" s="35"/>
    </row>
    <row r="21" spans="1:6">
      <c r="A21" s="35"/>
      <c r="B21" s="35"/>
      <c r="C21" s="35"/>
      <c r="D21" s="35"/>
      <c r="E21" s="35"/>
      <c r="F21" s="35"/>
    </row>
    <row r="22" spans="1:6">
      <c r="A22" s="30"/>
      <c r="B22" s="30"/>
      <c r="C22" s="30"/>
      <c r="D22" s="30"/>
      <c r="E22" s="30"/>
      <c r="F22" s="30"/>
    </row>
    <row r="23" spans="1:6">
      <c r="A23" s="30"/>
      <c r="B23" s="30"/>
      <c r="C23" s="30"/>
      <c r="D23" s="30"/>
      <c r="E23" s="30"/>
      <c r="F23" s="30"/>
    </row>
    <row r="24" spans="1:6">
      <c r="A24" s="30"/>
      <c r="B24" s="30"/>
      <c r="C24" s="30"/>
      <c r="D24" s="30"/>
      <c r="E24" s="30"/>
      <c r="F24" s="30"/>
    </row>
    <row r="25" spans="1:6">
      <c r="A25" s="30"/>
      <c r="B25" s="30"/>
      <c r="C25" s="30"/>
      <c r="D25" s="30"/>
      <c r="E25" s="30"/>
      <c r="F25" s="30"/>
    </row>
    <row r="26" spans="1:6">
      <c r="A26" s="30"/>
      <c r="B26" s="30"/>
      <c r="C26" s="30"/>
      <c r="D26" s="30"/>
      <c r="E26" s="30"/>
      <c r="F26" s="30"/>
    </row>
    <row r="27" spans="1:6">
      <c r="A27" s="30"/>
      <c r="B27" s="30"/>
      <c r="C27" s="30"/>
      <c r="D27" s="30"/>
      <c r="E27" s="30"/>
      <c r="F27" s="30"/>
    </row>
    <row r="28" spans="1:6">
      <c r="A28" s="30"/>
      <c r="B28" s="30"/>
      <c r="C28" s="30"/>
      <c r="D28" s="30"/>
      <c r="E28" s="30"/>
      <c r="F28" s="30"/>
    </row>
    <row r="29" spans="1:6">
      <c r="A29" s="30"/>
      <c r="B29" s="30"/>
      <c r="C29" s="30"/>
      <c r="D29" s="30"/>
      <c r="E29" s="30"/>
      <c r="F29" s="30"/>
    </row>
    <row r="30" spans="1:6">
      <c r="A30" s="30"/>
      <c r="B30" s="30"/>
      <c r="C30" s="30"/>
      <c r="D30" s="30"/>
      <c r="E30" s="30"/>
      <c r="F30" s="30"/>
    </row>
    <row r="31" spans="1:6">
      <c r="A31" s="30"/>
      <c r="B31" s="30"/>
      <c r="C31" s="30"/>
      <c r="D31" s="30"/>
      <c r="E31" s="30"/>
      <c r="F31" s="30"/>
    </row>
    <row r="32" spans="1:6">
      <c r="A32" s="30"/>
      <c r="B32" s="30"/>
      <c r="C32" s="30"/>
      <c r="D32" s="30"/>
      <c r="E32" s="30"/>
      <c r="F32" s="30"/>
    </row>
    <row r="33" spans="1:6">
      <c r="A33" s="30"/>
      <c r="B33" s="30"/>
      <c r="C33" s="30"/>
      <c r="D33" s="30"/>
      <c r="E33" s="30"/>
      <c r="F33" s="30"/>
    </row>
    <row r="34" spans="1:6">
      <c r="A34" s="30"/>
      <c r="B34" s="30"/>
      <c r="C34" s="30"/>
      <c r="D34" s="30"/>
      <c r="E34" s="30"/>
      <c r="F34" s="30"/>
    </row>
    <row r="35" spans="1:6">
      <c r="A35" s="30"/>
      <c r="B35" s="30"/>
      <c r="C35" s="30"/>
      <c r="D35" s="30"/>
      <c r="E35" s="30"/>
      <c r="F35" s="30"/>
    </row>
    <row r="36" spans="1:6">
      <c r="A36" s="30"/>
      <c r="B36" s="30"/>
      <c r="C36" s="30"/>
      <c r="D36" s="30"/>
      <c r="E36" s="30"/>
      <c r="F36" s="30"/>
    </row>
    <row r="37" spans="1:6">
      <c r="A37" s="30"/>
      <c r="B37" s="30"/>
      <c r="C37" s="30"/>
      <c r="D37" s="30"/>
      <c r="E37" s="30"/>
      <c r="F37" s="30"/>
    </row>
    <row r="38" spans="1:6">
      <c r="A38" s="30"/>
      <c r="B38" s="30"/>
      <c r="C38" s="30"/>
      <c r="D38" s="30"/>
      <c r="E38" s="30"/>
      <c r="F38" s="30"/>
    </row>
    <row r="39" spans="1:6">
      <c r="A39" s="30"/>
      <c r="B39" s="30"/>
      <c r="C39" s="30"/>
      <c r="D39" s="30"/>
      <c r="E39" s="30"/>
      <c r="F39" s="30"/>
    </row>
    <row r="40" spans="1:6">
      <c r="A40" s="30"/>
      <c r="B40" s="30"/>
      <c r="C40" s="30"/>
      <c r="D40" s="30"/>
      <c r="E40" s="30"/>
      <c r="F40" s="30"/>
    </row>
    <row r="41" spans="1:6">
      <c r="A41" s="30"/>
      <c r="B41" s="30"/>
      <c r="C41" s="30"/>
      <c r="D41" s="30"/>
      <c r="E41" s="30"/>
      <c r="F41" s="30"/>
    </row>
    <row r="42" spans="1:6">
      <c r="A42" s="30"/>
      <c r="B42" s="30"/>
      <c r="C42" s="30"/>
      <c r="D42" s="30"/>
      <c r="E42" s="30"/>
      <c r="F42" s="30"/>
    </row>
    <row r="43" spans="1:6">
      <c r="A43" s="30"/>
      <c r="B43" s="30"/>
      <c r="C43" s="30"/>
      <c r="D43" s="30"/>
      <c r="E43" s="30"/>
      <c r="F43" s="30"/>
    </row>
    <row r="44" spans="1:6">
      <c r="A44" s="30"/>
      <c r="B44" s="30"/>
      <c r="C44" s="30"/>
      <c r="D44" s="30"/>
      <c r="E44" s="30"/>
      <c r="F44" s="30"/>
    </row>
    <row r="45" spans="1:6">
      <c r="A45" s="30"/>
      <c r="B45" s="30"/>
      <c r="C45" s="30"/>
      <c r="D45" s="30"/>
      <c r="E45" s="30"/>
      <c r="F45" s="30"/>
    </row>
    <row r="46" spans="1:6">
      <c r="A46" s="30"/>
      <c r="B46" s="30"/>
      <c r="C46" s="30"/>
      <c r="D46" s="30"/>
      <c r="E46" s="30"/>
      <c r="F46" s="30"/>
    </row>
    <row r="47" spans="1:6">
      <c r="A47" s="30"/>
      <c r="B47" s="30"/>
      <c r="C47" s="30"/>
      <c r="D47" s="30"/>
      <c r="E47" s="30"/>
      <c r="F47" s="30"/>
    </row>
    <row r="48" spans="1:6">
      <c r="A48" s="30"/>
      <c r="B48" s="30"/>
      <c r="C48" s="30"/>
      <c r="D48" s="30"/>
      <c r="E48" s="30"/>
      <c r="F48" s="30"/>
    </row>
  </sheetData>
  <dataConsolidate/>
  <mergeCells count="1">
    <mergeCell ref="A2:F2"/>
  </mergeCells>
  <pageMargins left="0.23622047244094491" right="0.31496062992125984" top="0.74803149606299213" bottom="0.74803149606299213" header="0.31496062992125984" footer="0.31496062992125984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2:L30"/>
  <sheetViews>
    <sheetView topLeftCell="A7" zoomScaleNormal="100" zoomScalePageLayoutView="130" workbookViewId="0">
      <selection activeCell="M27" sqref="M27"/>
    </sheetView>
  </sheetViews>
  <sheetFormatPr defaultColWidth="8.75" defaultRowHeight="18.75"/>
  <cols>
    <col min="1" max="1" width="3.375" style="11" customWidth="1"/>
    <col min="2" max="2" width="7.125" style="11" customWidth="1"/>
    <col min="3" max="3" width="25.75" style="11" customWidth="1"/>
    <col min="4" max="4" width="2.375" style="11" hidden="1" customWidth="1"/>
    <col min="5" max="5" width="10.375" style="11" customWidth="1"/>
    <col min="6" max="6" width="10.25" style="11" customWidth="1"/>
    <col min="7" max="7" width="13.25" style="11" customWidth="1"/>
    <col min="8" max="8" width="11.25" style="11" customWidth="1"/>
    <col min="9" max="9" width="9.875" style="11" customWidth="1"/>
    <col min="10" max="10" width="23.5" style="11" customWidth="1"/>
    <col min="11" max="11" width="12.25" style="11" customWidth="1"/>
    <col min="12" max="12" width="27.5" style="11" customWidth="1"/>
    <col min="13" max="13" width="26.125" style="11" customWidth="1"/>
    <col min="14" max="14" width="18.625" style="11" customWidth="1"/>
    <col min="15" max="15" width="8.875" style="11" bestFit="1" customWidth="1"/>
    <col min="16" max="16" width="6" style="11" customWidth="1"/>
    <col min="17" max="16384" width="8.75" style="11"/>
  </cols>
  <sheetData>
    <row r="2" spans="1:12" ht="30">
      <c r="B2" s="26" t="s">
        <v>22</v>
      </c>
      <c r="C2" s="19"/>
      <c r="D2" s="19"/>
      <c r="E2" s="19"/>
      <c r="F2" s="19"/>
      <c r="G2" s="19"/>
      <c r="H2" s="19"/>
      <c r="I2" s="19"/>
      <c r="J2" s="19"/>
      <c r="K2" s="19"/>
      <c r="L2" s="19"/>
    </row>
    <row r="3" spans="1:12" ht="8.65" customHeight="1">
      <c r="B3" s="12"/>
      <c r="C3" s="12"/>
      <c r="D3" s="12"/>
      <c r="E3" s="12"/>
      <c r="F3" s="12"/>
      <c r="G3" s="12"/>
      <c r="H3" s="12"/>
      <c r="I3" s="12"/>
      <c r="J3" s="12"/>
    </row>
    <row r="4" spans="1:12" ht="15" customHeight="1">
      <c r="B4" s="37" t="s">
        <v>7</v>
      </c>
      <c r="C4" s="14"/>
      <c r="D4" s="14"/>
      <c r="E4" s="14"/>
      <c r="F4" s="14"/>
      <c r="G4" s="14"/>
      <c r="H4" s="14"/>
      <c r="I4" s="14"/>
      <c r="J4" s="15"/>
    </row>
    <row r="5" spans="1:12" ht="15" customHeight="1">
      <c r="B5" s="38" t="s">
        <v>98</v>
      </c>
      <c r="J5" s="16"/>
    </row>
    <row r="6" spans="1:12" ht="15" customHeight="1">
      <c r="B6" s="39"/>
      <c r="C6" s="17"/>
      <c r="D6" s="17"/>
      <c r="E6" s="17"/>
      <c r="F6" s="17"/>
      <c r="G6" s="17"/>
      <c r="H6" s="17"/>
      <c r="I6" s="17"/>
      <c r="J6" s="18"/>
    </row>
    <row r="7" spans="1:12" ht="15" customHeight="1">
      <c r="B7" s="13"/>
    </row>
    <row r="8" spans="1:12" ht="15" customHeight="1">
      <c r="B8" s="57" t="s">
        <v>49</v>
      </c>
      <c r="C8" s="233" t="s">
        <v>33</v>
      </c>
      <c r="D8" s="232"/>
      <c r="E8" s="232" t="s">
        <v>86</v>
      </c>
    </row>
    <row r="9" spans="1:12" ht="15" customHeight="1">
      <c r="B9" s="57" t="s">
        <v>49</v>
      </c>
      <c r="C9" s="233" t="s">
        <v>84</v>
      </c>
      <c r="D9" s="232"/>
      <c r="E9" s="232" t="s">
        <v>85</v>
      </c>
    </row>
    <row r="10" spans="1:12" ht="15" customHeight="1">
      <c r="B10" s="21"/>
      <c r="C10" s="21"/>
      <c r="D10" s="21"/>
      <c r="E10" s="21"/>
      <c r="F10" s="21"/>
      <c r="G10" s="21"/>
      <c r="H10" s="21"/>
      <c r="I10" s="13"/>
      <c r="J10" s="13"/>
    </row>
    <row r="11" spans="1:12" ht="15" customHeight="1">
      <c r="B11" s="40" t="s">
        <v>23</v>
      </c>
      <c r="C11" s="41" t="s">
        <v>18</v>
      </c>
      <c r="D11" s="41"/>
      <c r="E11" s="41" t="s">
        <v>24</v>
      </c>
      <c r="F11" s="50" t="s">
        <v>25</v>
      </c>
      <c r="G11" s="50" t="s">
        <v>26</v>
      </c>
      <c r="H11" s="50" t="s">
        <v>27</v>
      </c>
      <c r="I11" s="41" t="s">
        <v>28</v>
      </c>
      <c r="J11" s="41" t="s">
        <v>29</v>
      </c>
      <c r="K11" s="41" t="s">
        <v>30</v>
      </c>
      <c r="L11" s="41" t="s">
        <v>16</v>
      </c>
    </row>
    <row r="12" spans="1:12" ht="15" customHeight="1">
      <c r="A12" s="57" t="s">
        <v>49</v>
      </c>
      <c r="B12" s="53">
        <v>1</v>
      </c>
      <c r="C12" s="54" t="s">
        <v>34</v>
      </c>
      <c r="D12" s="54">
        <v>1</v>
      </c>
      <c r="E12" s="55">
        <v>0</v>
      </c>
      <c r="F12" s="55">
        <v>0</v>
      </c>
      <c r="G12" s="55">
        <v>0</v>
      </c>
      <c r="H12" s="55">
        <v>0</v>
      </c>
      <c r="I12" s="56">
        <v>4.6296296296296293E-4</v>
      </c>
      <c r="J12" s="55" t="s">
        <v>32</v>
      </c>
      <c r="K12" s="51" t="s">
        <v>55</v>
      </c>
      <c r="L12" s="52"/>
    </row>
    <row r="13" spans="1:12" ht="15" customHeight="1">
      <c r="B13" s="48">
        <v>2</v>
      </c>
      <c r="C13" s="49" t="s">
        <v>35</v>
      </c>
      <c r="D13" s="54">
        <v>1</v>
      </c>
      <c r="E13" s="55">
        <v>0</v>
      </c>
      <c r="F13" s="55">
        <v>0</v>
      </c>
      <c r="G13" s="55">
        <v>0</v>
      </c>
      <c r="H13" s="55">
        <v>0</v>
      </c>
      <c r="I13" s="56">
        <v>4.21296296296296E-2</v>
      </c>
      <c r="J13" s="55" t="s">
        <v>32</v>
      </c>
      <c r="K13" s="51" t="s">
        <v>31</v>
      </c>
      <c r="L13" s="52"/>
    </row>
    <row r="14" spans="1:12" ht="15" customHeight="1">
      <c r="B14" s="48">
        <v>3</v>
      </c>
      <c r="C14" s="49" t="s">
        <v>36</v>
      </c>
      <c r="D14" s="54">
        <v>1</v>
      </c>
      <c r="E14" s="55">
        <v>0</v>
      </c>
      <c r="F14" s="55">
        <v>0</v>
      </c>
      <c r="G14" s="55">
        <v>0</v>
      </c>
      <c r="H14" s="55">
        <v>0</v>
      </c>
      <c r="I14" s="56">
        <v>8.3796296296296299E-2</v>
      </c>
      <c r="J14" s="55" t="s">
        <v>32</v>
      </c>
      <c r="K14" s="51" t="s">
        <v>31</v>
      </c>
      <c r="L14" s="52"/>
    </row>
    <row r="15" spans="1:12" ht="15" customHeight="1">
      <c r="B15" s="48">
        <v>4</v>
      </c>
      <c r="C15" s="49" t="s">
        <v>37</v>
      </c>
      <c r="D15" s="54">
        <v>1</v>
      </c>
      <c r="E15" s="55">
        <v>0</v>
      </c>
      <c r="F15" s="55">
        <v>0</v>
      </c>
      <c r="G15" s="55">
        <v>0</v>
      </c>
      <c r="H15" s="55">
        <v>0</v>
      </c>
      <c r="I15" s="56">
        <v>0.125462962962963</v>
      </c>
      <c r="J15" s="55" t="s">
        <v>32</v>
      </c>
      <c r="K15" s="51" t="s">
        <v>55</v>
      </c>
      <c r="L15" s="52"/>
    </row>
    <row r="16" spans="1:12" ht="15" customHeight="1">
      <c r="B16" s="48">
        <v>5</v>
      </c>
      <c r="C16" s="49" t="s">
        <v>38</v>
      </c>
      <c r="D16" s="54">
        <v>1</v>
      </c>
      <c r="E16" s="55">
        <v>0</v>
      </c>
      <c r="F16" s="55">
        <v>0</v>
      </c>
      <c r="G16" s="55">
        <v>0</v>
      </c>
      <c r="H16" s="55">
        <v>0</v>
      </c>
      <c r="I16" s="56">
        <v>0.16712962962962999</v>
      </c>
      <c r="J16" s="55" t="s">
        <v>32</v>
      </c>
      <c r="K16" s="51" t="s">
        <v>31</v>
      </c>
      <c r="L16" s="52"/>
    </row>
    <row r="17" spans="2:12">
      <c r="B17" s="48">
        <v>6</v>
      </c>
      <c r="C17" s="49" t="s">
        <v>39</v>
      </c>
      <c r="D17" s="54">
        <v>1</v>
      </c>
      <c r="E17" s="55">
        <v>0</v>
      </c>
      <c r="F17" s="55">
        <v>0</v>
      </c>
      <c r="G17" s="55">
        <v>0</v>
      </c>
      <c r="H17" s="55">
        <v>0</v>
      </c>
      <c r="I17" s="56">
        <v>0.20879629629629601</v>
      </c>
      <c r="J17" s="55" t="s">
        <v>32</v>
      </c>
      <c r="K17" s="51" t="s">
        <v>31</v>
      </c>
      <c r="L17" s="52"/>
    </row>
    <row r="18" spans="2:12">
      <c r="B18" s="48">
        <v>7</v>
      </c>
      <c r="C18" s="49" t="s">
        <v>40</v>
      </c>
      <c r="D18" s="54">
        <v>1</v>
      </c>
      <c r="E18" s="55">
        <v>0</v>
      </c>
      <c r="F18" s="55">
        <v>0</v>
      </c>
      <c r="G18" s="55">
        <v>0</v>
      </c>
      <c r="H18" s="55">
        <v>0</v>
      </c>
      <c r="I18" s="56">
        <v>0.250462962962963</v>
      </c>
      <c r="J18" s="55" t="s">
        <v>32</v>
      </c>
      <c r="K18" s="51" t="s">
        <v>31</v>
      </c>
      <c r="L18" s="52"/>
    </row>
    <row r="19" spans="2:12">
      <c r="B19" s="48">
        <v>8</v>
      </c>
      <c r="C19" s="49" t="s">
        <v>41</v>
      </c>
      <c r="D19" s="54">
        <v>1</v>
      </c>
      <c r="E19" s="55">
        <v>0</v>
      </c>
      <c r="F19" s="55">
        <v>0</v>
      </c>
      <c r="G19" s="55">
        <v>0</v>
      </c>
      <c r="H19" s="55">
        <v>0</v>
      </c>
      <c r="I19" s="56">
        <v>0.29212962962963002</v>
      </c>
      <c r="J19" s="55" t="s">
        <v>32</v>
      </c>
      <c r="K19" s="51" t="s">
        <v>54</v>
      </c>
      <c r="L19" s="52"/>
    </row>
    <row r="20" spans="2:12">
      <c r="B20" s="48">
        <v>9</v>
      </c>
      <c r="C20" s="49" t="s">
        <v>42</v>
      </c>
      <c r="D20" s="54">
        <v>1</v>
      </c>
      <c r="E20" s="55">
        <v>0</v>
      </c>
      <c r="F20" s="55">
        <v>0</v>
      </c>
      <c r="G20" s="55">
        <v>0</v>
      </c>
      <c r="H20" s="55">
        <v>0</v>
      </c>
      <c r="I20" s="56">
        <v>0.33379629629629598</v>
      </c>
      <c r="J20" s="55" t="s">
        <v>32</v>
      </c>
      <c r="K20" s="51" t="s">
        <v>31</v>
      </c>
      <c r="L20" s="52"/>
    </row>
    <row r="21" spans="2:12">
      <c r="B21" s="48">
        <v>10</v>
      </c>
      <c r="C21" s="49" t="s">
        <v>43</v>
      </c>
      <c r="D21" s="54">
        <v>1</v>
      </c>
      <c r="E21" s="55">
        <v>0</v>
      </c>
      <c r="F21" s="55">
        <v>0</v>
      </c>
      <c r="G21" s="55">
        <v>0</v>
      </c>
      <c r="H21" s="55">
        <v>0</v>
      </c>
      <c r="I21" s="56">
        <v>0.375462962962963</v>
      </c>
      <c r="J21" s="55" t="s">
        <v>32</v>
      </c>
      <c r="K21" s="51" t="s">
        <v>31</v>
      </c>
      <c r="L21" s="52"/>
    </row>
    <row r="22" spans="2:12">
      <c r="B22" s="48">
        <v>11</v>
      </c>
      <c r="C22" s="49" t="s">
        <v>44</v>
      </c>
      <c r="D22" s="54">
        <v>1</v>
      </c>
      <c r="E22" s="55">
        <v>0</v>
      </c>
      <c r="F22" s="55">
        <v>0</v>
      </c>
      <c r="G22" s="55">
        <v>1</v>
      </c>
      <c r="H22" s="55">
        <v>0</v>
      </c>
      <c r="I22" s="56">
        <v>0.41712962962963002</v>
      </c>
      <c r="J22" s="55" t="s">
        <v>32</v>
      </c>
      <c r="K22" s="51" t="s">
        <v>31</v>
      </c>
      <c r="L22" s="52"/>
    </row>
    <row r="23" spans="2:12">
      <c r="B23" s="48">
        <v>12</v>
      </c>
      <c r="C23" s="49" t="s">
        <v>45</v>
      </c>
      <c r="D23" s="54">
        <v>1</v>
      </c>
      <c r="E23" s="55">
        <v>0</v>
      </c>
      <c r="F23" s="55">
        <v>0</v>
      </c>
      <c r="G23" s="55">
        <v>0</v>
      </c>
      <c r="H23" s="55">
        <v>0</v>
      </c>
      <c r="I23" s="56">
        <v>0.45879629629629598</v>
      </c>
      <c r="J23" s="55" t="s">
        <v>32</v>
      </c>
      <c r="K23" s="51" t="s">
        <v>31</v>
      </c>
      <c r="L23" s="52"/>
    </row>
    <row r="24" spans="2:12">
      <c r="B24" s="48">
        <v>13</v>
      </c>
      <c r="C24" s="49" t="s">
        <v>46</v>
      </c>
      <c r="D24" s="54">
        <v>1</v>
      </c>
      <c r="E24" s="55">
        <v>0</v>
      </c>
      <c r="F24" s="55">
        <v>0</v>
      </c>
      <c r="G24" s="55">
        <v>0</v>
      </c>
      <c r="H24" s="55">
        <v>0</v>
      </c>
      <c r="I24" s="56">
        <v>0.500462962962963</v>
      </c>
      <c r="J24" s="55" t="s">
        <v>32</v>
      </c>
      <c r="K24" s="51" t="s">
        <v>31</v>
      </c>
      <c r="L24" s="52"/>
    </row>
    <row r="25" spans="2:12">
      <c r="B25" s="48">
        <v>14</v>
      </c>
      <c r="C25" s="49" t="s">
        <v>47</v>
      </c>
      <c r="D25" s="54">
        <v>1</v>
      </c>
      <c r="E25" s="55">
        <v>0</v>
      </c>
      <c r="F25" s="55">
        <v>0</v>
      </c>
      <c r="G25" s="55">
        <v>0</v>
      </c>
      <c r="H25" s="55">
        <v>0</v>
      </c>
      <c r="I25" s="56">
        <v>0.54212962962962996</v>
      </c>
      <c r="J25" s="55" t="s">
        <v>32</v>
      </c>
      <c r="K25" s="51" t="s">
        <v>31</v>
      </c>
      <c r="L25" s="52"/>
    </row>
    <row r="26" spans="2:12">
      <c r="B26" s="48">
        <v>15</v>
      </c>
      <c r="C26" s="49" t="s">
        <v>48</v>
      </c>
      <c r="D26" s="54">
        <v>1</v>
      </c>
      <c r="E26" s="55">
        <v>0</v>
      </c>
      <c r="F26" s="55">
        <v>0</v>
      </c>
      <c r="G26" s="55">
        <v>0</v>
      </c>
      <c r="H26" s="55">
        <v>0</v>
      </c>
      <c r="I26" s="56">
        <v>0.58379629629629604</v>
      </c>
      <c r="J26" s="55" t="s">
        <v>32</v>
      </c>
      <c r="K26" s="51" t="s">
        <v>31</v>
      </c>
      <c r="L26" s="52"/>
    </row>
    <row r="27" spans="2:12" ht="19.5" thickBot="1"/>
    <row r="28" spans="2:12" customFormat="1" ht="15.75" thickTop="1">
      <c r="B28" s="58" t="s">
        <v>50</v>
      </c>
      <c r="C28" s="59"/>
      <c r="D28" s="59"/>
      <c r="E28" s="146" t="s">
        <v>51</v>
      </c>
      <c r="F28" s="147"/>
      <c r="G28" s="147"/>
      <c r="H28" s="148"/>
      <c r="I28" s="60" t="s">
        <v>52</v>
      </c>
      <c r="J28" s="142" t="s">
        <v>53</v>
      </c>
      <c r="K28" s="143"/>
    </row>
    <row r="29" spans="2:12" customFormat="1" ht="15" thickBot="1">
      <c r="B29" s="140">
        <f>SUM(D12:D26)</f>
        <v>15</v>
      </c>
      <c r="C29" s="141"/>
      <c r="D29" s="61"/>
      <c r="E29" s="62">
        <f>SUM(E12:E26)</f>
        <v>0</v>
      </c>
      <c r="F29" s="62">
        <f t="shared" ref="F29:I29" si="0">SUM(F12:F26)</f>
        <v>0</v>
      </c>
      <c r="G29" s="62">
        <f t="shared" si="0"/>
        <v>1</v>
      </c>
      <c r="H29" s="62">
        <f t="shared" si="0"/>
        <v>0</v>
      </c>
      <c r="I29" s="63">
        <f t="shared" si="0"/>
        <v>4.3819444444444446</v>
      </c>
      <c r="J29" s="144">
        <f>SUMIF(K12:K26,"=PASSED",D12:D26)</f>
        <v>12</v>
      </c>
      <c r="K29" s="145"/>
    </row>
    <row r="30" spans="2:12" ht="19.5" thickTop="1"/>
  </sheetData>
  <mergeCells count="4">
    <mergeCell ref="B29:C29"/>
    <mergeCell ref="J28:K28"/>
    <mergeCell ref="J29:K29"/>
    <mergeCell ref="E28:H28"/>
  </mergeCells>
  <phoneticPr fontId="9" type="noConversion"/>
  <conditionalFormatting sqref="K12:K26">
    <cfRule type="containsText" dxfId="32" priority="1" stopIfTrue="1" operator="containsText" text="FAILED">
      <formula>NOT(ISERROR(SEARCH("FAILED",K12)))</formula>
    </cfRule>
    <cfRule type="containsText" dxfId="31" priority="2" stopIfTrue="1" operator="containsText" text="PASS">
      <formula>NOT(ISERROR(SEARCH("PASS",K12)))</formula>
    </cfRule>
    <cfRule type="expression" dxfId="30" priority="3" stopIfTrue="1">
      <formula>K12="PENDING"</formula>
    </cfRule>
    <cfRule type="expression" dxfId="29" priority="4" stopIfTrue="1">
      <formula>K12="OPEN"</formula>
    </cfRule>
    <cfRule type="expression" dxfId="28" priority="5" stopIfTrue="1">
      <formula>K12="Undefined"</formula>
    </cfRule>
    <cfRule type="expression" dxfId="27" priority="6" stopIfTrue="1">
      <formula>K12="OPEN"</formula>
    </cfRule>
    <cfRule type="expression" dxfId="26" priority="7" stopIfTrue="1">
      <formula>K12="-"</formula>
    </cfRule>
  </conditionalFormatting>
  <dataValidations count="1">
    <dataValidation type="list" allowBlank="1" showInputMessage="1" showErrorMessage="1" sqref="K12:K26" xr:uid="{91FB4B10-F4AD-4DF4-9925-859B628F7A56}">
      <formula1>"PASSED,FAILED,ONGOING"</formula1>
    </dataValidation>
  </dataValidations>
  <pageMargins left="0.36458333333333331" right="0.31862745098039214" top="0.73958333333333337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9BF21-A3E2-4507-BF61-5995849BA935}">
  <dimension ref="A1:I63"/>
  <sheetViews>
    <sheetView zoomScaleNormal="100" workbookViewId="0">
      <selection activeCell="I29" sqref="I29"/>
    </sheetView>
  </sheetViews>
  <sheetFormatPr defaultColWidth="4.75" defaultRowHeight="12.75"/>
  <cols>
    <col min="1" max="1" width="2.75" style="23" customWidth="1"/>
    <col min="2" max="2" width="9.125" style="23" customWidth="1"/>
    <col min="3" max="3" width="14.125" style="23" customWidth="1"/>
    <col min="4" max="4" width="55.125" style="24" customWidth="1"/>
    <col min="5" max="5" width="17.875" style="24" customWidth="1"/>
    <col min="6" max="6" width="15.875" style="23" customWidth="1"/>
    <col min="7" max="7" width="10.25" style="23" customWidth="1"/>
    <col min="8" max="8" width="11.5" style="23" customWidth="1"/>
    <col min="9" max="9" width="52.125" style="23" customWidth="1"/>
    <col min="10" max="16384" width="4.75" style="23"/>
  </cols>
  <sheetData>
    <row r="1" spans="1:9" customFormat="1" ht="14.25"/>
    <row r="2" spans="1:9" s="20" customFormat="1" ht="30">
      <c r="B2" s="19" t="s">
        <v>56</v>
      </c>
      <c r="C2" s="19"/>
      <c r="D2" s="19"/>
      <c r="E2" s="19"/>
      <c r="F2" s="19"/>
      <c r="G2" s="19"/>
      <c r="H2" s="19"/>
      <c r="I2" s="19"/>
    </row>
    <row r="3" spans="1:9">
      <c r="A3" s="25"/>
    </row>
    <row r="4" spans="1:9" s="11" customFormat="1" ht="15" customHeight="1">
      <c r="B4" s="79" t="s">
        <v>7</v>
      </c>
      <c r="C4" s="14"/>
      <c r="D4" s="14"/>
      <c r="E4" s="14"/>
      <c r="F4" s="14"/>
      <c r="G4" s="14"/>
      <c r="H4" s="14"/>
      <c r="I4" s="15"/>
    </row>
    <row r="5" spans="1:9" s="11" customFormat="1" ht="15" customHeight="1">
      <c r="B5" s="78" t="s">
        <v>83</v>
      </c>
      <c r="I5" s="16"/>
    </row>
    <row r="6" spans="1:9" s="11" customFormat="1" ht="15" customHeight="1">
      <c r="B6" s="39"/>
      <c r="C6" s="17"/>
      <c r="D6" s="17"/>
      <c r="E6" s="17"/>
      <c r="F6" s="17"/>
      <c r="G6" s="17"/>
      <c r="H6" s="17"/>
      <c r="I6" s="18"/>
    </row>
    <row r="7" spans="1:9" s="11" customFormat="1" ht="15" customHeight="1">
      <c r="B7" s="75"/>
    </row>
    <row r="8" spans="1:9" ht="15">
      <c r="B8" s="76" t="s">
        <v>65</v>
      </c>
    </row>
    <row r="9" spans="1:9">
      <c r="C9" s="41" t="s">
        <v>57</v>
      </c>
      <c r="D9" s="41" t="s">
        <v>58</v>
      </c>
      <c r="E9" s="41" t="s">
        <v>59</v>
      </c>
      <c r="F9" s="41" t="s">
        <v>60</v>
      </c>
      <c r="G9" s="41" t="s">
        <v>61</v>
      </c>
    </row>
    <row r="10" spans="1:9" ht="14.25">
      <c r="C10" s="64" t="s">
        <v>62</v>
      </c>
      <c r="D10" s="64">
        <v>8</v>
      </c>
      <c r="E10" s="64">
        <v>8</v>
      </c>
      <c r="F10" s="64">
        <v>0</v>
      </c>
      <c r="G10" s="65">
        <f>(E10)/D10</f>
        <v>1</v>
      </c>
    </row>
    <row r="11" spans="1:9" ht="14.25">
      <c r="C11" s="64" t="s">
        <v>63</v>
      </c>
      <c r="D11" s="64">
        <v>0</v>
      </c>
      <c r="E11" s="64">
        <v>0</v>
      </c>
      <c r="F11" s="64">
        <v>0</v>
      </c>
      <c r="G11" s="67" t="s">
        <v>17</v>
      </c>
    </row>
    <row r="12" spans="1:9" ht="14.25">
      <c r="C12" s="64" t="s">
        <v>64</v>
      </c>
      <c r="D12" s="64">
        <v>8</v>
      </c>
      <c r="E12" s="64">
        <v>8</v>
      </c>
      <c r="F12" s="64">
        <v>0</v>
      </c>
      <c r="G12" s="65">
        <f>(E12)/D12</f>
        <v>1</v>
      </c>
      <c r="I12" s="74" t="s">
        <v>82</v>
      </c>
    </row>
    <row r="13" spans="1:9">
      <c r="C13" s="24"/>
      <c r="E13" s="23"/>
    </row>
    <row r="14" spans="1:9">
      <c r="C14" s="24"/>
      <c r="E14" s="23"/>
    </row>
    <row r="15" spans="1:9" ht="15">
      <c r="B15" s="77" t="s">
        <v>66</v>
      </c>
      <c r="C15" s="68" t="s">
        <v>67</v>
      </c>
      <c r="D15"/>
      <c r="E15"/>
      <c r="F15"/>
      <c r="G15"/>
      <c r="H15"/>
      <c r="I15" s="69" t="s">
        <v>68</v>
      </c>
    </row>
    <row r="16" spans="1:9" ht="14.25">
      <c r="B16"/>
      <c r="C16" s="41" t="s">
        <v>23</v>
      </c>
      <c r="D16" s="41" t="s">
        <v>69</v>
      </c>
      <c r="E16" s="41" t="s">
        <v>70</v>
      </c>
      <c r="F16" s="41" t="s">
        <v>71</v>
      </c>
      <c r="G16" s="41" t="s">
        <v>72</v>
      </c>
      <c r="H16" s="41" t="s">
        <v>73</v>
      </c>
      <c r="I16" s="41" t="s">
        <v>16</v>
      </c>
    </row>
    <row r="17" spans="2:9" ht="14.25">
      <c r="B17"/>
      <c r="C17" s="70">
        <v>1</v>
      </c>
      <c r="D17" s="73" t="s">
        <v>74</v>
      </c>
      <c r="E17" s="71">
        <v>803851309</v>
      </c>
      <c r="F17" s="71">
        <v>350</v>
      </c>
      <c r="G17" s="64">
        <v>0</v>
      </c>
      <c r="H17" s="64">
        <v>0</v>
      </c>
      <c r="I17" s="72"/>
    </row>
    <row r="18" spans="2:9" ht="14.25">
      <c r="B18"/>
      <c r="C18" s="70">
        <v>2</v>
      </c>
      <c r="D18" s="73" t="s">
        <v>75</v>
      </c>
      <c r="E18" s="71">
        <v>803851309</v>
      </c>
      <c r="F18" s="71">
        <v>699</v>
      </c>
      <c r="G18" s="64">
        <v>0</v>
      </c>
      <c r="H18" s="64">
        <v>0</v>
      </c>
      <c r="I18" s="72"/>
    </row>
    <row r="19" spans="2:9" ht="14.25">
      <c r="B19"/>
      <c r="C19" s="70">
        <v>3</v>
      </c>
      <c r="D19" s="73" t="s">
        <v>76</v>
      </c>
      <c r="E19" s="71">
        <v>803851309</v>
      </c>
      <c r="F19" s="71">
        <v>12875</v>
      </c>
      <c r="G19" s="64">
        <v>0</v>
      </c>
      <c r="H19" s="64">
        <v>0</v>
      </c>
      <c r="I19" s="72"/>
    </row>
    <row r="20" spans="2:9" ht="14.25">
      <c r="B20"/>
      <c r="C20" s="70">
        <v>4</v>
      </c>
      <c r="D20" s="73" t="s">
        <v>77</v>
      </c>
      <c r="E20" s="71">
        <v>27439527</v>
      </c>
      <c r="F20" s="71">
        <v>639</v>
      </c>
      <c r="G20" s="64">
        <v>0</v>
      </c>
      <c r="H20" s="64">
        <v>0</v>
      </c>
      <c r="I20" s="72"/>
    </row>
    <row r="21" spans="2:9" ht="14.25">
      <c r="B21"/>
      <c r="C21" s="70">
        <v>5</v>
      </c>
      <c r="D21" s="73" t="s">
        <v>78</v>
      </c>
      <c r="E21" s="71">
        <v>803851309</v>
      </c>
      <c r="F21" s="71">
        <v>698</v>
      </c>
      <c r="G21" s="64">
        <v>0</v>
      </c>
      <c r="H21" s="64">
        <v>0</v>
      </c>
      <c r="I21" s="72"/>
    </row>
    <row r="22" spans="2:9" ht="14.25">
      <c r="B22"/>
      <c r="C22" s="70">
        <v>6</v>
      </c>
      <c r="D22" s="73" t="s">
        <v>79</v>
      </c>
      <c r="E22" s="71">
        <v>803851309</v>
      </c>
      <c r="F22" s="71">
        <v>12875</v>
      </c>
      <c r="G22" s="64">
        <v>0</v>
      </c>
      <c r="H22" s="64">
        <v>0</v>
      </c>
      <c r="I22" s="72"/>
    </row>
    <row r="23" spans="2:9" ht="14.25">
      <c r="B23"/>
      <c r="C23" s="70">
        <v>7</v>
      </c>
      <c r="D23" s="73" t="s">
        <v>80</v>
      </c>
      <c r="E23" s="71">
        <v>803851309</v>
      </c>
      <c r="F23" s="71">
        <v>25750</v>
      </c>
      <c r="G23" s="64">
        <v>0</v>
      </c>
      <c r="H23" s="64">
        <v>0</v>
      </c>
      <c r="I23" s="72"/>
    </row>
    <row r="24" spans="2:9" ht="14.25">
      <c r="B24"/>
      <c r="C24" s="70">
        <v>8</v>
      </c>
      <c r="D24" s="73" t="s">
        <v>81</v>
      </c>
      <c r="E24" s="71">
        <v>803851309</v>
      </c>
      <c r="F24" s="71">
        <v>3546924</v>
      </c>
      <c r="G24" s="64">
        <v>0</v>
      </c>
      <c r="H24" s="64">
        <v>0</v>
      </c>
      <c r="I24" s="72"/>
    </row>
    <row r="25" spans="2:9">
      <c r="C25" s="24"/>
      <c r="E25" s="23"/>
    </row>
    <row r="26" spans="2:9">
      <c r="C26" s="24"/>
      <c r="E26" s="23"/>
    </row>
    <row r="27" spans="2:9">
      <c r="C27" s="24"/>
      <c r="E27" s="23"/>
    </row>
    <row r="28" spans="2:9">
      <c r="C28" s="24"/>
      <c r="E28" s="23"/>
    </row>
    <row r="29" spans="2:9">
      <c r="C29" s="24"/>
      <c r="E29" s="23"/>
    </row>
    <row r="30" spans="2:9">
      <c r="D30" s="23"/>
      <c r="E30" s="23"/>
    </row>
    <row r="31" spans="2:9">
      <c r="C31" s="24"/>
      <c r="E31" s="23"/>
    </row>
    <row r="32" spans="2:9">
      <c r="D32" s="23"/>
      <c r="E32" s="23"/>
    </row>
    <row r="33" spans="3:5">
      <c r="C33" s="24"/>
      <c r="E33" s="23"/>
    </row>
    <row r="34" spans="3:5">
      <c r="C34" s="24"/>
      <c r="E34" s="23"/>
    </row>
    <row r="35" spans="3:5">
      <c r="C35" s="24"/>
      <c r="E35" s="23"/>
    </row>
    <row r="36" spans="3:5">
      <c r="C36" s="24"/>
      <c r="E36" s="23"/>
    </row>
    <row r="37" spans="3:5">
      <c r="C37" s="24"/>
      <c r="E37" s="23"/>
    </row>
    <row r="38" spans="3:5">
      <c r="C38" s="24"/>
      <c r="E38" s="23"/>
    </row>
    <row r="39" spans="3:5">
      <c r="C39" s="24"/>
      <c r="E39" s="23"/>
    </row>
    <row r="40" spans="3:5">
      <c r="C40" s="24"/>
      <c r="E40" s="23"/>
    </row>
    <row r="41" spans="3:5">
      <c r="C41" s="24"/>
      <c r="E41" s="23"/>
    </row>
    <row r="42" spans="3:5">
      <c r="C42" s="24"/>
      <c r="E42" s="23"/>
    </row>
    <row r="43" spans="3:5">
      <c r="C43" s="24"/>
      <c r="E43" s="23"/>
    </row>
    <row r="44" spans="3:5">
      <c r="C44" s="24"/>
      <c r="E44" s="23"/>
    </row>
    <row r="45" spans="3:5">
      <c r="C45" s="24"/>
      <c r="E45" s="23"/>
    </row>
    <row r="46" spans="3:5">
      <c r="C46" s="24"/>
      <c r="E46" s="23"/>
    </row>
    <row r="47" spans="3:5">
      <c r="C47" s="24"/>
      <c r="E47" s="23"/>
    </row>
    <row r="48" spans="3:5">
      <c r="C48" s="24"/>
      <c r="E48" s="23"/>
    </row>
    <row r="49" spans="3:5">
      <c r="C49" s="24"/>
      <c r="E49" s="23"/>
    </row>
    <row r="50" spans="3:5">
      <c r="C50" s="24"/>
      <c r="E50" s="23"/>
    </row>
    <row r="51" spans="3:5">
      <c r="C51" s="24"/>
      <c r="E51" s="23"/>
    </row>
    <row r="52" spans="3:5">
      <c r="C52" s="24"/>
      <c r="E52" s="23"/>
    </row>
    <row r="53" spans="3:5">
      <c r="C53" s="24"/>
      <c r="E53" s="23"/>
    </row>
    <row r="54" spans="3:5">
      <c r="C54" s="24"/>
      <c r="E54" s="23"/>
    </row>
    <row r="55" spans="3:5">
      <c r="C55" s="24"/>
      <c r="E55" s="23"/>
    </row>
    <row r="56" spans="3:5">
      <c r="C56" s="24"/>
      <c r="E56" s="23"/>
    </row>
    <row r="57" spans="3:5">
      <c r="C57" s="24"/>
      <c r="E57" s="23"/>
    </row>
    <row r="58" spans="3:5">
      <c r="C58" s="24"/>
      <c r="E58" s="23"/>
    </row>
    <row r="59" spans="3:5">
      <c r="C59" s="24"/>
      <c r="E59" s="23"/>
    </row>
    <row r="60" spans="3:5">
      <c r="C60" s="24"/>
      <c r="E60" s="23"/>
    </row>
    <row r="61" spans="3:5">
      <c r="C61" s="24"/>
      <c r="E61" s="23"/>
    </row>
    <row r="62" spans="3:5">
      <c r="C62" s="24"/>
      <c r="E62" s="23"/>
    </row>
    <row r="63" spans="3:5">
      <c r="C63" s="24"/>
      <c r="E63" s="23"/>
    </row>
  </sheetData>
  <phoneticPr fontId="9" type="noConversion"/>
  <pageMargins left="0.7" right="0.7" top="0.75" bottom="0.75" header="0.3" footer="0.3"/>
  <pageSetup paperSize="9" scale="60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40B42-2989-4F42-A2A1-BF631DF7A5BA}">
  <dimension ref="B2:G14"/>
  <sheetViews>
    <sheetView zoomScaleNormal="100" zoomScalePageLayoutView="115" workbookViewId="0">
      <selection activeCell="B23" sqref="B23"/>
    </sheetView>
  </sheetViews>
  <sheetFormatPr defaultColWidth="8.75" defaultRowHeight="15.75"/>
  <cols>
    <col min="1" max="1" width="3.25" style="13" customWidth="1"/>
    <col min="2" max="2" width="43" style="13" customWidth="1"/>
    <col min="3" max="3" width="8.75" style="13" customWidth="1"/>
    <col min="4" max="4" width="9.375" style="13" customWidth="1"/>
    <col min="5" max="5" width="8.875" style="13" customWidth="1"/>
    <col min="6" max="6" width="11.875" style="13" customWidth="1"/>
    <col min="7" max="7" width="53.75" style="13" customWidth="1"/>
    <col min="8" max="8" width="25.75" style="13" customWidth="1"/>
    <col min="9" max="9" width="31.75" style="13" customWidth="1"/>
    <col min="10" max="16384" width="8.75" style="13"/>
  </cols>
  <sheetData>
    <row r="2" spans="2:7" s="20" customFormat="1" ht="30">
      <c r="B2" s="19" t="s">
        <v>94</v>
      </c>
      <c r="C2" s="19"/>
      <c r="D2" s="19"/>
      <c r="E2" s="19"/>
      <c r="F2" s="19"/>
      <c r="G2" s="19"/>
    </row>
    <row r="4" spans="2:7" s="11" customFormat="1" ht="15" customHeight="1">
      <c r="B4" s="79" t="s">
        <v>7</v>
      </c>
      <c r="C4" s="14"/>
      <c r="D4" s="14"/>
      <c r="E4" s="14"/>
      <c r="F4" s="14"/>
      <c r="G4" s="15"/>
    </row>
    <row r="5" spans="2:7" s="11" customFormat="1" ht="15" customHeight="1">
      <c r="B5" s="78" t="s">
        <v>97</v>
      </c>
      <c r="G5" s="16"/>
    </row>
    <row r="6" spans="2:7" s="11" customFormat="1" ht="15" customHeight="1">
      <c r="B6" s="39"/>
      <c r="C6" s="17"/>
      <c r="D6" s="17"/>
      <c r="E6" s="17"/>
      <c r="F6" s="17"/>
      <c r="G6" s="18"/>
    </row>
    <row r="7" spans="2:7" s="11" customFormat="1" ht="15" customHeight="1">
      <c r="B7" s="75"/>
    </row>
    <row r="8" spans="2:7">
      <c r="B8" s="80"/>
      <c r="C8" s="81"/>
      <c r="D8" s="81"/>
      <c r="E8" s="81"/>
      <c r="F8" s="82"/>
      <c r="G8" s="69" t="s">
        <v>87</v>
      </c>
    </row>
    <row r="9" spans="2:7">
      <c r="B9" s="41" t="s">
        <v>88</v>
      </c>
      <c r="C9" s="41" t="s">
        <v>89</v>
      </c>
      <c r="D9" s="41" t="s">
        <v>90</v>
      </c>
      <c r="E9" s="41" t="s">
        <v>91</v>
      </c>
      <c r="F9" s="41" t="s">
        <v>61</v>
      </c>
      <c r="G9" s="41" t="s">
        <v>16</v>
      </c>
    </row>
    <row r="10" spans="2:7" ht="16.5">
      <c r="B10" s="83" t="s">
        <v>92</v>
      </c>
      <c r="C10" s="84">
        <v>15</v>
      </c>
      <c r="D10" s="84">
        <v>0</v>
      </c>
      <c r="E10" s="84">
        <v>15</v>
      </c>
      <c r="F10" s="66">
        <f>(C10-D10)/C10</f>
        <v>1</v>
      </c>
      <c r="G10" s="85" t="s">
        <v>93</v>
      </c>
    </row>
    <row r="11" spans="2:7" ht="16.5">
      <c r="B11" s="83"/>
      <c r="C11" s="84">
        <v>6000</v>
      </c>
      <c r="D11" s="84">
        <v>0</v>
      </c>
      <c r="E11" s="84">
        <v>6000</v>
      </c>
      <c r="F11" s="66">
        <f>(C11-D11)/C11</f>
        <v>1</v>
      </c>
      <c r="G11" s="85" t="s">
        <v>93</v>
      </c>
    </row>
    <row r="12" spans="2:7" ht="16.5">
      <c r="B12" s="83"/>
      <c r="C12" s="84">
        <v>6</v>
      </c>
      <c r="D12" s="84">
        <v>0</v>
      </c>
      <c r="E12" s="84">
        <v>6</v>
      </c>
      <c r="F12" s="66">
        <f t="shared" ref="F12:F14" si="0">(C12-D12)/C12</f>
        <v>1</v>
      </c>
      <c r="G12" s="85" t="s">
        <v>93</v>
      </c>
    </row>
    <row r="13" spans="2:7" ht="16.5">
      <c r="B13" s="83"/>
      <c r="C13" s="84">
        <v>35</v>
      </c>
      <c r="D13" s="84">
        <f t="shared" ref="D13:D14" si="1">C13-E13</f>
        <v>11</v>
      </c>
      <c r="E13" s="84">
        <v>24</v>
      </c>
      <c r="F13" s="86">
        <f t="shared" si="0"/>
        <v>0.68571428571428572</v>
      </c>
      <c r="G13" s="85" t="s">
        <v>93</v>
      </c>
    </row>
    <row r="14" spans="2:7" ht="16.5">
      <c r="B14" s="83"/>
      <c r="C14" s="84">
        <v>42</v>
      </c>
      <c r="D14" s="84">
        <f t="shared" si="1"/>
        <v>0</v>
      </c>
      <c r="E14" s="84">
        <v>42</v>
      </c>
      <c r="F14" s="66">
        <f t="shared" si="0"/>
        <v>1</v>
      </c>
      <c r="G14" s="85" t="s">
        <v>93</v>
      </c>
    </row>
  </sheetData>
  <conditionalFormatting sqref="C11">
    <cfRule type="expression" dxfId="25" priority="5" stopIfTrue="1">
      <formula>C11&lt;100</formula>
    </cfRule>
    <cfRule type="expression" dxfId="24" priority="6" stopIfTrue="1">
      <formula>C11="-"</formula>
    </cfRule>
  </conditionalFormatting>
  <conditionalFormatting sqref="E11">
    <cfRule type="expression" dxfId="23" priority="3" stopIfTrue="1">
      <formula>E11&lt;100</formula>
    </cfRule>
    <cfRule type="expression" dxfId="22" priority="4" stopIfTrue="1">
      <formula>E11="-"</formula>
    </cfRule>
  </conditionalFormatting>
  <pageMargins left="0.36458333333333298" right="0.31862745098039202" top="0.73958333333333304" bottom="0.75" header="0.3" footer="0.3"/>
  <pageSetup paperSize="12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0A3D3-C469-4358-8F8A-8A32BCB93667}">
  <dimension ref="B2:W51"/>
  <sheetViews>
    <sheetView topLeftCell="A47" zoomScaleNormal="100" zoomScalePageLayoutView="115" workbookViewId="0">
      <selection activeCell="G81" sqref="G81"/>
    </sheetView>
  </sheetViews>
  <sheetFormatPr defaultColWidth="8.75" defaultRowHeight="15.75"/>
  <cols>
    <col min="1" max="1" width="3.25" style="13" customWidth="1"/>
    <col min="2" max="2" width="48.625" style="13" customWidth="1"/>
    <col min="3" max="3" width="9.625" style="13" customWidth="1"/>
    <col min="4" max="4" width="9.375" style="13" customWidth="1"/>
    <col min="5" max="5" width="8.875" style="13" customWidth="1"/>
    <col min="6" max="6" width="10.5" style="13" customWidth="1"/>
    <col min="7" max="7" width="12.375" style="13" customWidth="1"/>
    <col min="8" max="8" width="10.375" style="13" customWidth="1"/>
    <col min="9" max="16384" width="8.75" style="13"/>
  </cols>
  <sheetData>
    <row r="2" spans="2:15" s="20" customFormat="1" ht="30">
      <c r="B2" s="19" t="s">
        <v>95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</row>
    <row r="4" spans="2:15" s="11" customFormat="1" ht="15" customHeight="1">
      <c r="B4" s="79" t="s">
        <v>7</v>
      </c>
      <c r="C4" s="14"/>
      <c r="D4" s="14"/>
      <c r="E4" s="14"/>
      <c r="F4" s="14"/>
      <c r="G4" s="14"/>
      <c r="H4" s="15"/>
    </row>
    <row r="5" spans="2:15" s="11" customFormat="1" ht="15" customHeight="1">
      <c r="B5" s="78" t="s">
        <v>96</v>
      </c>
      <c r="G5" s="16"/>
      <c r="H5" s="149"/>
    </row>
    <row r="6" spans="2:15" s="11" customFormat="1" ht="15" customHeight="1">
      <c r="B6" s="39"/>
      <c r="C6" s="17"/>
      <c r="D6" s="17"/>
      <c r="E6" s="17"/>
      <c r="F6" s="17"/>
      <c r="G6" s="17"/>
      <c r="H6" s="18"/>
    </row>
    <row r="7" spans="2:15" s="11" customFormat="1" ht="15" customHeight="1">
      <c r="B7" s="75"/>
    </row>
    <row r="8" spans="2:15" ht="18">
      <c r="B8" s="95" t="s">
        <v>113</v>
      </c>
    </row>
    <row r="32" spans="2:2" ht="18">
      <c r="B32" s="95" t="s">
        <v>116</v>
      </c>
    </row>
    <row r="33" spans="2:23" ht="16.5" thickBot="1"/>
    <row r="34" spans="2:23" ht="17.25" thickTop="1">
      <c r="B34" s="217" t="s">
        <v>239</v>
      </c>
      <c r="C34" s="214" t="s">
        <v>240</v>
      </c>
      <c r="D34" s="198" t="s">
        <v>241</v>
      </c>
      <c r="E34" s="199"/>
      <c r="F34" s="199"/>
      <c r="G34" s="200"/>
      <c r="H34" s="198" t="s">
        <v>242</v>
      </c>
      <c r="I34" s="199"/>
      <c r="J34" s="199"/>
      <c r="K34" s="200"/>
      <c r="L34" s="198" t="s">
        <v>243</v>
      </c>
      <c r="M34" s="199"/>
      <c r="N34" s="199"/>
      <c r="O34" s="200"/>
      <c r="P34" s="198" t="s">
        <v>244</v>
      </c>
      <c r="Q34" s="199"/>
      <c r="R34" s="199"/>
      <c r="S34" s="200"/>
      <c r="T34" s="198" t="s">
        <v>245</v>
      </c>
      <c r="U34" s="199"/>
      <c r="V34" s="199"/>
      <c r="W34" s="200"/>
    </row>
    <row r="35" spans="2:23" ht="17.25" thickBot="1">
      <c r="B35" s="223"/>
      <c r="C35" s="224"/>
      <c r="D35" s="225" t="s">
        <v>246</v>
      </c>
      <c r="E35" s="226" t="s">
        <v>91</v>
      </c>
      <c r="F35" s="226" t="s">
        <v>247</v>
      </c>
      <c r="G35" s="227" t="s">
        <v>58</v>
      </c>
      <c r="H35" s="225" t="s">
        <v>246</v>
      </c>
      <c r="I35" s="226" t="s">
        <v>91</v>
      </c>
      <c r="J35" s="226" t="s">
        <v>247</v>
      </c>
      <c r="K35" s="227" t="s">
        <v>58</v>
      </c>
      <c r="L35" s="225" t="s">
        <v>246</v>
      </c>
      <c r="M35" s="226" t="s">
        <v>91</v>
      </c>
      <c r="N35" s="226" t="s">
        <v>247</v>
      </c>
      <c r="O35" s="227" t="s">
        <v>58</v>
      </c>
      <c r="P35" s="225" t="s">
        <v>246</v>
      </c>
      <c r="Q35" s="226" t="s">
        <v>91</v>
      </c>
      <c r="R35" s="226" t="s">
        <v>247</v>
      </c>
      <c r="S35" s="227" t="s">
        <v>58</v>
      </c>
      <c r="T35" s="225" t="s">
        <v>246</v>
      </c>
      <c r="U35" s="226" t="s">
        <v>91</v>
      </c>
      <c r="V35" s="226" t="s">
        <v>247</v>
      </c>
      <c r="W35" s="227" t="s">
        <v>58</v>
      </c>
    </row>
    <row r="36" spans="2:23" ht="17.25" thickTop="1">
      <c r="B36" s="218" t="s">
        <v>248</v>
      </c>
      <c r="C36" s="219" t="s">
        <v>17</v>
      </c>
      <c r="D36" s="220">
        <v>1</v>
      </c>
      <c r="E36" s="221"/>
      <c r="F36" s="221"/>
      <c r="G36" s="222"/>
      <c r="H36" s="220">
        <v>1</v>
      </c>
      <c r="I36" s="221"/>
      <c r="J36" s="221"/>
      <c r="K36" s="222"/>
      <c r="L36" s="220">
        <v>1</v>
      </c>
      <c r="M36" s="221"/>
      <c r="N36" s="221"/>
      <c r="O36" s="222"/>
      <c r="P36" s="220">
        <v>1</v>
      </c>
      <c r="Q36" s="221"/>
      <c r="R36" s="221"/>
      <c r="S36" s="222"/>
      <c r="T36" s="220">
        <v>1</v>
      </c>
      <c r="U36" s="221"/>
      <c r="V36" s="221"/>
      <c r="W36" s="222"/>
    </row>
    <row r="37" spans="2:23" ht="16.5">
      <c r="B37" s="215" t="s">
        <v>249</v>
      </c>
      <c r="C37" s="212">
        <v>90.99</v>
      </c>
      <c r="D37" s="192">
        <f>(E37+F37)/G37</f>
        <v>1</v>
      </c>
      <c r="E37" s="180">
        <v>356</v>
      </c>
      <c r="F37" s="230">
        <v>5</v>
      </c>
      <c r="G37" s="195">
        <v>361</v>
      </c>
      <c r="H37" s="192">
        <f t="shared" ref="H37:H38" si="0">(I37+J37)/K37</f>
        <v>1</v>
      </c>
      <c r="I37" s="180">
        <v>27</v>
      </c>
      <c r="J37" s="230">
        <v>2</v>
      </c>
      <c r="K37" s="195">
        <v>29</v>
      </c>
      <c r="L37" s="192">
        <f t="shared" ref="L37:L40" si="1">(M37+N37)/O37</f>
        <v>1</v>
      </c>
      <c r="M37" s="180">
        <v>8845</v>
      </c>
      <c r="N37" s="230">
        <v>1395</v>
      </c>
      <c r="O37" s="195">
        <v>10240</v>
      </c>
      <c r="P37" s="192">
        <f t="shared" ref="P37:P38" si="2">(Q37+R37)/S37</f>
        <v>1</v>
      </c>
      <c r="Q37" s="180">
        <v>10</v>
      </c>
      <c r="R37" s="181">
        <v>3</v>
      </c>
      <c r="S37" s="195">
        <v>13</v>
      </c>
      <c r="T37" s="192">
        <f>(U37+V37)/W37</f>
        <v>0.98706896551724133</v>
      </c>
      <c r="U37" s="180">
        <v>227</v>
      </c>
      <c r="V37" s="230">
        <v>2</v>
      </c>
      <c r="W37" s="195">
        <v>232</v>
      </c>
    </row>
    <row r="38" spans="2:23" ht="16.5">
      <c r="B38" s="215" t="s">
        <v>250</v>
      </c>
      <c r="C38" s="212">
        <v>90.3</v>
      </c>
      <c r="D38" s="192">
        <f>(E38+F38)/G38</f>
        <v>1</v>
      </c>
      <c r="E38" s="180">
        <v>332</v>
      </c>
      <c r="F38" s="230">
        <v>5</v>
      </c>
      <c r="G38" s="195">
        <v>337</v>
      </c>
      <c r="H38" s="192">
        <f t="shared" si="0"/>
        <v>1</v>
      </c>
      <c r="I38" s="180">
        <v>27</v>
      </c>
      <c r="J38" s="230">
        <v>2</v>
      </c>
      <c r="K38" s="195">
        <v>29</v>
      </c>
      <c r="L38" s="192">
        <f t="shared" si="1"/>
        <v>1</v>
      </c>
      <c r="M38" s="180">
        <v>6960</v>
      </c>
      <c r="N38" s="230">
        <v>1200</v>
      </c>
      <c r="O38" s="195">
        <v>8160</v>
      </c>
      <c r="P38" s="192">
        <f t="shared" si="2"/>
        <v>1</v>
      </c>
      <c r="Q38" s="180">
        <v>10</v>
      </c>
      <c r="R38" s="181">
        <v>3</v>
      </c>
      <c r="S38" s="195">
        <v>13</v>
      </c>
      <c r="T38" s="192">
        <f>(U38+V38)/W38</f>
        <v>0.98611111111111116</v>
      </c>
      <c r="U38" s="180">
        <v>211</v>
      </c>
      <c r="V38" s="230">
        <v>2</v>
      </c>
      <c r="W38" s="195">
        <v>216</v>
      </c>
    </row>
    <row r="39" spans="2:23" ht="16.5">
      <c r="B39" s="215" t="s">
        <v>252</v>
      </c>
      <c r="C39" s="212">
        <v>94.44</v>
      </c>
      <c r="D39" s="193">
        <f t="shared" ref="D39:D40" si="3">(E39+F39)/G39</f>
        <v>1</v>
      </c>
      <c r="E39" s="180">
        <v>3</v>
      </c>
      <c r="F39" s="182"/>
      <c r="G39" s="195">
        <v>3</v>
      </c>
      <c r="H39" s="194" t="s">
        <v>251</v>
      </c>
      <c r="I39" s="183" t="s">
        <v>251</v>
      </c>
      <c r="J39" s="183"/>
      <c r="K39" s="196" t="s">
        <v>251</v>
      </c>
      <c r="L39" s="192">
        <f t="shared" si="1"/>
        <v>1</v>
      </c>
      <c r="M39" s="180">
        <v>20</v>
      </c>
      <c r="N39" s="230">
        <v>4</v>
      </c>
      <c r="O39" s="195">
        <v>24</v>
      </c>
      <c r="P39" s="194" t="s">
        <v>251</v>
      </c>
      <c r="Q39" s="184" t="s">
        <v>251</v>
      </c>
      <c r="R39" s="184"/>
      <c r="S39" s="197" t="s">
        <v>251</v>
      </c>
      <c r="T39" s="193">
        <f>(U39+V39)/W39</f>
        <v>1</v>
      </c>
      <c r="U39" s="180">
        <v>2</v>
      </c>
      <c r="V39" s="181"/>
      <c r="W39" s="195">
        <v>2</v>
      </c>
    </row>
    <row r="40" spans="2:23" ht="17.25" thickBot="1">
      <c r="B40" s="216" t="s">
        <v>253</v>
      </c>
      <c r="C40" s="213">
        <v>95.24</v>
      </c>
      <c r="D40" s="201">
        <f t="shared" si="3"/>
        <v>1</v>
      </c>
      <c r="E40" s="202">
        <v>3</v>
      </c>
      <c r="F40" s="203"/>
      <c r="G40" s="204">
        <v>3</v>
      </c>
      <c r="H40" s="205" t="s">
        <v>251</v>
      </c>
      <c r="I40" s="206" t="s">
        <v>251</v>
      </c>
      <c r="J40" s="206"/>
      <c r="K40" s="207" t="s">
        <v>251</v>
      </c>
      <c r="L40" s="208">
        <f t="shared" si="1"/>
        <v>1</v>
      </c>
      <c r="M40" s="202">
        <v>12</v>
      </c>
      <c r="N40" s="231">
        <v>2</v>
      </c>
      <c r="O40" s="204">
        <v>14</v>
      </c>
      <c r="P40" s="205" t="s">
        <v>251</v>
      </c>
      <c r="Q40" s="209" t="s">
        <v>251</v>
      </c>
      <c r="R40" s="209"/>
      <c r="S40" s="210" t="s">
        <v>251</v>
      </c>
      <c r="T40" s="201">
        <f>(U40+V40)/W40</f>
        <v>1</v>
      </c>
      <c r="U40" s="202">
        <v>2</v>
      </c>
      <c r="V40" s="211"/>
      <c r="W40" s="204">
        <v>2</v>
      </c>
    </row>
    <row r="41" spans="2:23" ht="16.5" thickTop="1"/>
    <row r="43" spans="2:23" ht="18">
      <c r="B43" s="191" t="s">
        <v>262</v>
      </c>
    </row>
    <row r="44" spans="2:23" ht="16.5">
      <c r="B44" s="185" t="s">
        <v>254</v>
      </c>
      <c r="C44" s="228" t="s">
        <v>255</v>
      </c>
      <c r="D44" s="228"/>
      <c r="E44" s="228"/>
      <c r="F44" s="228"/>
    </row>
    <row r="45" spans="2:23" ht="16.5">
      <c r="B45" s="185"/>
      <c r="C45" s="186" t="s">
        <v>256</v>
      </c>
      <c r="D45" s="186"/>
      <c r="E45" s="186"/>
      <c r="F45" s="186"/>
    </row>
    <row r="46" spans="2:23" ht="16.5">
      <c r="B46" s="185"/>
      <c r="C46" s="187" t="s">
        <v>257</v>
      </c>
      <c r="D46" s="187"/>
      <c r="E46" s="187"/>
      <c r="F46" s="187"/>
    </row>
    <row r="47" spans="2:23" ht="16.5">
      <c r="B47" s="185"/>
      <c r="C47" s="188" t="s">
        <v>258</v>
      </c>
      <c r="D47" s="188"/>
      <c r="E47" s="188"/>
      <c r="F47" s="188"/>
    </row>
    <row r="48" spans="2:23" ht="16.5">
      <c r="B48" s="185"/>
      <c r="C48" s="91"/>
      <c r="D48" s="91"/>
      <c r="E48" s="91"/>
      <c r="F48" s="91"/>
    </row>
    <row r="49" spans="2:6" ht="16.5">
      <c r="B49" s="185" t="s">
        <v>259</v>
      </c>
      <c r="C49" s="229" t="s">
        <v>260</v>
      </c>
      <c r="D49" s="229"/>
      <c r="E49" s="229"/>
      <c r="F49" s="229"/>
    </row>
    <row r="50" spans="2:6" ht="16.5">
      <c r="B50"/>
      <c r="C50" s="189" t="s">
        <v>261</v>
      </c>
      <c r="D50" s="189"/>
      <c r="E50" s="189"/>
      <c r="F50" s="189"/>
    </row>
    <row r="51" spans="2:6" ht="16.5">
      <c r="B51"/>
      <c r="C51" s="190" t="s">
        <v>257</v>
      </c>
      <c r="D51" s="190"/>
      <c r="E51" s="190"/>
      <c r="F51" s="190"/>
    </row>
  </sheetData>
  <mergeCells count="14">
    <mergeCell ref="C50:F50"/>
    <mergeCell ref="C51:F51"/>
    <mergeCell ref="T34:W34"/>
    <mergeCell ref="C44:F44"/>
    <mergeCell ref="C45:F45"/>
    <mergeCell ref="C46:F46"/>
    <mergeCell ref="C47:F47"/>
    <mergeCell ref="C49:F49"/>
    <mergeCell ref="B34:B35"/>
    <mergeCell ref="C34:C35"/>
    <mergeCell ref="D34:G34"/>
    <mergeCell ref="H34:K34"/>
    <mergeCell ref="L34:O34"/>
    <mergeCell ref="P34:S34"/>
  </mergeCells>
  <pageMargins left="0.36458333333333298" right="0.31862745098039202" top="0.73958333333333304" bottom="0.75" header="0.3" footer="0.3"/>
  <pageSetup paperSize="12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FCA3C5-D113-4220-BC64-C3330EDE06CA}">
  <dimension ref="B2:M165"/>
  <sheetViews>
    <sheetView topLeftCell="A55" zoomScale="85" zoomScaleNormal="85" zoomScalePageLayoutView="115" workbookViewId="0">
      <selection activeCell="O10" sqref="O10"/>
    </sheetView>
  </sheetViews>
  <sheetFormatPr defaultColWidth="8.75" defaultRowHeight="15.75"/>
  <cols>
    <col min="1" max="1" width="3.25" style="13" customWidth="1"/>
    <col min="2" max="2" width="26" style="13" customWidth="1"/>
    <col min="3" max="3" width="22.5" style="13" customWidth="1"/>
    <col min="4" max="4" width="12.625" style="13" customWidth="1"/>
    <col min="5" max="5" width="11.875" style="13" customWidth="1"/>
    <col min="6" max="6" width="13.875" style="13" customWidth="1"/>
    <col min="7" max="7" width="11.125" style="13" customWidth="1"/>
    <col min="8" max="8" width="11.75" style="13" customWidth="1"/>
    <col min="9" max="9" width="52.5" style="13" customWidth="1"/>
    <col min="10" max="10" width="11.25" style="13" customWidth="1"/>
    <col min="11" max="16384" width="8.75" style="13"/>
  </cols>
  <sheetData>
    <row r="2" spans="2:13" s="20" customFormat="1" ht="30">
      <c r="B2" s="19" t="s">
        <v>114</v>
      </c>
      <c r="C2" s="19"/>
      <c r="D2" s="19"/>
      <c r="E2" s="19"/>
      <c r="F2" s="19"/>
    </row>
    <row r="4" spans="2:13" s="11" customFormat="1" ht="15" customHeight="1">
      <c r="B4" s="79" t="s">
        <v>7</v>
      </c>
      <c r="C4" s="14"/>
      <c r="D4" s="14"/>
      <c r="E4" s="14"/>
      <c r="F4" s="15"/>
    </row>
    <row r="5" spans="2:13" s="11" customFormat="1" ht="15" customHeight="1">
      <c r="B5" s="97" t="s">
        <v>117</v>
      </c>
      <c r="F5" s="16"/>
      <c r="H5" s="236" t="s">
        <v>191</v>
      </c>
      <c r="I5" s="237" t="s">
        <v>192</v>
      </c>
    </row>
    <row r="6" spans="2:13" s="11" customFormat="1" ht="15" customHeight="1">
      <c r="B6" s="96" t="s">
        <v>118</v>
      </c>
      <c r="C6" s="17"/>
      <c r="D6" s="17"/>
      <c r="E6" s="17"/>
      <c r="F6" s="18"/>
      <c r="H6" s="238" t="s">
        <v>149</v>
      </c>
      <c r="I6" s="237" t="s">
        <v>193</v>
      </c>
    </row>
    <row r="7" spans="2:13" s="11" customFormat="1" ht="15" customHeight="1">
      <c r="B7" s="75"/>
      <c r="H7" s="239" t="s">
        <v>144</v>
      </c>
      <c r="I7" s="237" t="s">
        <v>194</v>
      </c>
      <c r="K7" s="98"/>
      <c r="L7" s="98"/>
    </row>
    <row r="8" spans="2:13" ht="24">
      <c r="B8" s="177" t="s">
        <v>238</v>
      </c>
      <c r="K8" s="98"/>
      <c r="L8" s="98"/>
    </row>
    <row r="9" spans="2:13" ht="24">
      <c r="B9" s="177"/>
      <c r="K9" s="98"/>
      <c r="L9" s="98"/>
    </row>
    <row r="10" spans="2:13" ht="24">
      <c r="B10" s="150" t="s">
        <v>196</v>
      </c>
      <c r="K10" s="98"/>
      <c r="L10" s="98"/>
    </row>
    <row r="11" spans="2:13" ht="19.5">
      <c r="B11" s="98"/>
      <c r="C11" s="99" t="s">
        <v>200</v>
      </c>
      <c r="D11" s="100"/>
      <c r="E11" s="101"/>
      <c r="F11" s="100"/>
      <c r="G11" s="98"/>
      <c r="H11" s="98"/>
      <c r="I11" s="102"/>
      <c r="J11" s="102"/>
      <c r="K11" s="98"/>
      <c r="L11" s="98"/>
      <c r="M11" s="98"/>
    </row>
    <row r="12" spans="2:13" ht="19.5">
      <c r="B12" s="98"/>
      <c r="C12" s="99"/>
      <c r="D12" s="100"/>
      <c r="E12" s="101"/>
      <c r="F12" s="100"/>
      <c r="G12" s="98"/>
      <c r="H12" s="98"/>
      <c r="I12" s="102"/>
      <c r="J12" s="102"/>
      <c r="K12" s="98"/>
      <c r="L12" s="98"/>
      <c r="M12" s="98"/>
    </row>
    <row r="13" spans="2:13" ht="16.5">
      <c r="B13" s="98"/>
      <c r="C13" s="129"/>
      <c r="D13" s="130" t="s">
        <v>197</v>
      </c>
      <c r="E13" s="130" t="s">
        <v>58</v>
      </c>
      <c r="F13" s="130" t="s">
        <v>91</v>
      </c>
      <c r="G13" s="130" t="s">
        <v>120</v>
      </c>
      <c r="H13" s="124" t="s">
        <v>138</v>
      </c>
      <c r="I13" s="124" t="s">
        <v>139</v>
      </c>
      <c r="J13" s="131" t="s">
        <v>140</v>
      </c>
      <c r="K13" s="98"/>
      <c r="L13" s="98"/>
      <c r="M13" s="98"/>
    </row>
    <row r="14" spans="2:13" ht="16.5">
      <c r="B14" s="98"/>
      <c r="C14" s="132" t="s">
        <v>198</v>
      </c>
      <c r="D14" s="133"/>
      <c r="E14" s="133">
        <v>3</v>
      </c>
      <c r="F14" s="133">
        <v>3</v>
      </c>
      <c r="G14" s="133">
        <v>100</v>
      </c>
      <c r="H14" s="127"/>
      <c r="I14" s="127"/>
      <c r="J14" s="128" t="s">
        <v>144</v>
      </c>
      <c r="K14" s="98"/>
      <c r="L14" s="98"/>
      <c r="M14" s="98"/>
    </row>
    <row r="15" spans="2:13" ht="16.5">
      <c r="B15" s="98"/>
      <c r="C15" s="132" t="s">
        <v>199</v>
      </c>
      <c r="D15" s="133">
        <v>20</v>
      </c>
      <c r="E15" s="133">
        <v>3</v>
      </c>
      <c r="F15" s="133">
        <v>3</v>
      </c>
      <c r="G15" s="133">
        <v>100</v>
      </c>
      <c r="H15" s="127"/>
      <c r="I15" s="127"/>
      <c r="J15" s="128" t="s">
        <v>144</v>
      </c>
      <c r="K15" s="98"/>
      <c r="L15" s="98"/>
      <c r="M15" s="98"/>
    </row>
    <row r="16" spans="2:13" ht="19.5">
      <c r="B16" s="98"/>
      <c r="C16" s="99"/>
      <c r="D16" s="100"/>
      <c r="E16" s="101"/>
      <c r="F16" s="100"/>
      <c r="G16" s="98"/>
      <c r="H16" s="98"/>
      <c r="I16" s="102"/>
      <c r="J16" s="102"/>
      <c r="K16" s="98"/>
      <c r="L16" s="98"/>
      <c r="M16" s="98"/>
    </row>
    <row r="17" spans="2:13" ht="19.5">
      <c r="B17" s="98"/>
      <c r="C17" s="99"/>
      <c r="D17" s="100"/>
      <c r="E17" s="101"/>
      <c r="F17" s="100"/>
      <c r="G17" s="98"/>
      <c r="H17" s="98"/>
      <c r="I17" s="102"/>
      <c r="J17" s="102"/>
      <c r="K17" s="98"/>
      <c r="L17" s="98"/>
      <c r="M17" s="98"/>
    </row>
    <row r="18" spans="2:13" ht="19.5">
      <c r="B18" s="98"/>
      <c r="C18" s="99" t="s">
        <v>119</v>
      </c>
      <c r="D18" s="100"/>
      <c r="E18" s="101"/>
      <c r="F18" s="100"/>
      <c r="G18" s="98"/>
      <c r="H18" s="98"/>
      <c r="I18" s="102"/>
      <c r="J18" s="102"/>
      <c r="K18" s="98"/>
      <c r="L18" s="98"/>
      <c r="M18" s="98"/>
    </row>
    <row r="19" spans="2:13" ht="19.5">
      <c r="B19" s="98"/>
      <c r="C19" s="99"/>
      <c r="D19" s="100"/>
      <c r="E19" s="101"/>
      <c r="F19" s="100"/>
      <c r="G19" s="98"/>
      <c r="H19" s="98"/>
      <c r="I19" s="102"/>
      <c r="J19" s="102"/>
      <c r="K19" s="98"/>
      <c r="L19" s="98"/>
      <c r="M19" s="98"/>
    </row>
    <row r="20" spans="2:13" ht="16.5">
      <c r="B20" s="98"/>
      <c r="C20" s="102"/>
      <c r="D20" s="103" t="s">
        <v>58</v>
      </c>
      <c r="E20" s="103" t="s">
        <v>91</v>
      </c>
      <c r="F20" s="103" t="s">
        <v>120</v>
      </c>
      <c r="H20" s="98"/>
      <c r="I20" s="102"/>
      <c r="J20" s="102"/>
      <c r="K20" s="98"/>
      <c r="L20" s="98"/>
      <c r="M20" s="98"/>
    </row>
    <row r="21" spans="2:13" ht="16.5">
      <c r="B21" s="98"/>
      <c r="C21" s="104" t="s">
        <v>121</v>
      </c>
      <c r="D21" s="105">
        <v>53</v>
      </c>
      <c r="E21" s="105">
        <v>32</v>
      </c>
      <c r="F21" s="105">
        <v>60.38</v>
      </c>
      <c r="H21" s="98"/>
      <c r="I21" s="98"/>
      <c r="J21" s="98"/>
      <c r="K21" s="98"/>
      <c r="L21" s="98"/>
      <c r="M21" s="98"/>
    </row>
    <row r="22" spans="2:13" ht="16.5">
      <c r="B22" s="98"/>
      <c r="C22" s="104" t="s">
        <v>122</v>
      </c>
      <c r="D22" s="105">
        <v>446</v>
      </c>
      <c r="E22" s="105">
        <v>328</v>
      </c>
      <c r="F22" s="105">
        <v>73.540000000000006</v>
      </c>
      <c r="H22" s="98"/>
      <c r="I22" s="98"/>
      <c r="J22" s="98"/>
      <c r="K22" s="98"/>
      <c r="L22" s="98"/>
      <c r="M22" s="98"/>
    </row>
    <row r="23" spans="2:13" ht="16.5">
      <c r="B23" s="98"/>
      <c r="C23" s="106" t="s">
        <v>123</v>
      </c>
      <c r="D23" s="105">
        <v>223</v>
      </c>
      <c r="E23" s="105">
        <v>164</v>
      </c>
      <c r="F23" s="105">
        <v>73.540000000000006</v>
      </c>
      <c r="H23" s="98"/>
      <c r="I23" s="98"/>
      <c r="J23" s="98"/>
      <c r="K23" s="98"/>
      <c r="L23" s="98"/>
      <c r="M23" s="98"/>
    </row>
    <row r="24" spans="2:13" ht="16.5">
      <c r="B24" s="98"/>
      <c r="C24" s="106" t="s">
        <v>124</v>
      </c>
      <c r="D24" s="105">
        <v>223</v>
      </c>
      <c r="E24" s="105">
        <v>164</v>
      </c>
      <c r="F24" s="105">
        <v>73.540000000000006</v>
      </c>
      <c r="H24" s="98"/>
      <c r="I24" s="98"/>
      <c r="J24" s="98"/>
      <c r="K24" s="98"/>
      <c r="L24" s="98"/>
      <c r="M24" s="98"/>
    </row>
    <row r="25" spans="2:13" ht="16.5">
      <c r="B25" s="98"/>
      <c r="C25" s="107"/>
      <c r="D25" s="107"/>
      <c r="E25" s="107"/>
      <c r="F25" s="107"/>
      <c r="H25" s="98"/>
      <c r="I25" s="98"/>
      <c r="J25" s="98"/>
      <c r="K25" s="98"/>
      <c r="L25" s="98"/>
      <c r="M25" s="98"/>
    </row>
    <row r="26" spans="2:13" ht="16.5">
      <c r="B26" s="98"/>
      <c r="C26" s="103"/>
      <c r="D26" s="103"/>
      <c r="E26" s="103"/>
      <c r="F26" s="103"/>
      <c r="H26" s="98"/>
      <c r="I26" s="98"/>
      <c r="J26" s="98"/>
      <c r="K26" s="98"/>
      <c r="L26" s="98"/>
      <c r="M26" s="98"/>
    </row>
    <row r="27" spans="2:13" ht="16.5">
      <c r="B27" s="98"/>
      <c r="C27" s="108" t="s">
        <v>125</v>
      </c>
      <c r="D27" s="109">
        <v>41</v>
      </c>
      <c r="E27" s="109">
        <v>20</v>
      </c>
      <c r="F27" s="109">
        <v>48.78</v>
      </c>
      <c r="H27" s="98"/>
      <c r="I27" s="98"/>
      <c r="J27" s="98"/>
      <c r="K27" s="98"/>
      <c r="L27" s="98"/>
      <c r="M27" s="98"/>
    </row>
    <row r="28" spans="2:13" ht="16.5">
      <c r="B28" s="98"/>
      <c r="C28" s="104" t="s">
        <v>126</v>
      </c>
      <c r="D28" s="105">
        <v>422</v>
      </c>
      <c r="E28" s="105">
        <v>304</v>
      </c>
      <c r="F28" s="105">
        <v>72.040000000000006</v>
      </c>
      <c r="H28" s="98"/>
      <c r="I28" s="98"/>
      <c r="J28" s="98"/>
      <c r="K28" s="98"/>
      <c r="L28" s="98"/>
      <c r="M28" s="98"/>
    </row>
    <row r="29" spans="2:13" ht="16.5">
      <c r="B29" s="98"/>
      <c r="C29" s="106" t="s">
        <v>127</v>
      </c>
      <c r="D29" s="105">
        <v>211</v>
      </c>
      <c r="E29" s="105">
        <v>152</v>
      </c>
      <c r="F29" s="105">
        <v>72.040000000000006</v>
      </c>
      <c r="H29" s="98"/>
      <c r="I29" s="98"/>
      <c r="J29" s="98"/>
      <c r="K29" s="98"/>
      <c r="L29" s="98"/>
      <c r="M29" s="98"/>
    </row>
    <row r="30" spans="2:13" ht="16.5">
      <c r="B30" s="98"/>
      <c r="C30" s="106" t="s">
        <v>128</v>
      </c>
      <c r="D30" s="105">
        <v>211</v>
      </c>
      <c r="E30" s="105">
        <v>152</v>
      </c>
      <c r="F30" s="105">
        <v>72.040000000000006</v>
      </c>
      <c r="H30" s="98"/>
      <c r="I30" s="98"/>
      <c r="J30" s="98"/>
      <c r="K30" s="98"/>
      <c r="L30" s="98"/>
      <c r="M30" s="98"/>
    </row>
    <row r="31" spans="2:13" ht="16.5">
      <c r="B31" s="98"/>
      <c r="C31" s="107"/>
      <c r="D31" s="107"/>
      <c r="E31" s="107"/>
      <c r="F31" s="107"/>
      <c r="H31" s="98"/>
      <c r="I31" s="98"/>
      <c r="J31" s="98"/>
      <c r="K31" s="98"/>
      <c r="L31" s="98"/>
      <c r="M31" s="98"/>
    </row>
    <row r="32" spans="2:13" ht="16.5">
      <c r="B32" s="98"/>
      <c r="C32" s="103"/>
      <c r="D32" s="103"/>
      <c r="E32" s="103"/>
      <c r="F32" s="103"/>
      <c r="H32" s="98"/>
      <c r="I32" s="98"/>
      <c r="J32" s="98"/>
      <c r="K32" s="98"/>
      <c r="L32" s="98"/>
      <c r="M32" s="98"/>
    </row>
    <row r="33" spans="2:13" ht="16.5">
      <c r="B33" s="98"/>
      <c r="C33" s="110" t="s">
        <v>129</v>
      </c>
      <c r="D33" s="111">
        <v>12</v>
      </c>
      <c r="E33" s="111">
        <v>12</v>
      </c>
      <c r="F33" s="111">
        <v>100</v>
      </c>
      <c r="H33" s="98"/>
      <c r="I33" s="98"/>
      <c r="J33" s="98"/>
      <c r="K33" s="98"/>
      <c r="L33" s="98"/>
      <c r="M33" s="98"/>
    </row>
    <row r="34" spans="2:13" ht="16.5">
      <c r="B34" s="98"/>
      <c r="C34" s="110" t="s">
        <v>130</v>
      </c>
      <c r="D34" s="111">
        <v>24</v>
      </c>
      <c r="E34" s="111">
        <v>24</v>
      </c>
      <c r="F34" s="111">
        <v>100</v>
      </c>
      <c r="H34" s="98"/>
      <c r="I34" s="98"/>
      <c r="J34" s="98"/>
      <c r="K34" s="98"/>
      <c r="L34" s="98"/>
      <c r="M34" s="98"/>
    </row>
    <row r="35" spans="2:13" ht="16.5">
      <c r="B35" s="98"/>
      <c r="C35" s="112" t="s">
        <v>131</v>
      </c>
      <c r="D35" s="111">
        <v>12</v>
      </c>
      <c r="E35" s="111">
        <v>12</v>
      </c>
      <c r="F35" s="111">
        <v>100</v>
      </c>
      <c r="H35" s="98"/>
      <c r="I35" s="98"/>
      <c r="J35" s="98"/>
      <c r="K35" s="98"/>
      <c r="L35" s="98"/>
      <c r="M35" s="98"/>
    </row>
    <row r="36" spans="2:13" ht="16.5">
      <c r="B36" s="98"/>
      <c r="C36" s="112" t="s">
        <v>132</v>
      </c>
      <c r="D36" s="111">
        <v>12</v>
      </c>
      <c r="E36" s="111">
        <v>12</v>
      </c>
      <c r="F36" s="111">
        <v>100</v>
      </c>
      <c r="H36" s="98"/>
      <c r="I36" s="98"/>
      <c r="J36" s="98"/>
      <c r="K36" s="98"/>
      <c r="L36" s="98"/>
      <c r="M36" s="98"/>
    </row>
    <row r="37" spans="2:13" ht="16.5">
      <c r="B37" s="98"/>
      <c r="C37" s="98"/>
      <c r="D37" s="98"/>
      <c r="E37" s="98"/>
      <c r="F37" s="98"/>
      <c r="G37" s="98"/>
      <c r="H37" s="98"/>
      <c r="I37" s="98"/>
      <c r="J37" s="98"/>
      <c r="K37" s="98"/>
      <c r="L37" s="98"/>
      <c r="M37" s="98"/>
    </row>
    <row r="38" spans="2:13" ht="16.5">
      <c r="B38" s="98"/>
      <c r="C38" s="100"/>
      <c r="D38" s="100"/>
      <c r="E38" s="101"/>
      <c r="F38" s="100"/>
      <c r="G38" s="98"/>
      <c r="H38" s="98"/>
      <c r="I38" s="98"/>
      <c r="J38" s="98"/>
      <c r="K38" s="98"/>
      <c r="L38" s="98"/>
      <c r="M38" s="98"/>
    </row>
    <row r="39" spans="2:13" ht="16.5">
      <c r="B39" s="98"/>
      <c r="C39" s="113" t="s">
        <v>133</v>
      </c>
      <c r="D39" s="113" t="s">
        <v>134</v>
      </c>
      <c r="E39" s="113" t="s">
        <v>135</v>
      </c>
      <c r="F39" s="113" t="s">
        <v>136</v>
      </c>
      <c r="G39" s="113" t="s">
        <v>137</v>
      </c>
      <c r="H39" s="114" t="s">
        <v>138</v>
      </c>
      <c r="I39" s="114" t="s">
        <v>139</v>
      </c>
      <c r="J39" s="114" t="s">
        <v>140</v>
      </c>
      <c r="K39" s="98"/>
      <c r="L39" s="98"/>
      <c r="M39" s="98"/>
    </row>
    <row r="40" spans="2:13" ht="16.5">
      <c r="B40" s="98"/>
      <c r="C40" s="115" t="s">
        <v>141</v>
      </c>
      <c r="D40" s="116" t="s">
        <v>142</v>
      </c>
      <c r="E40" s="116" t="s">
        <v>142</v>
      </c>
      <c r="F40" s="116" t="s">
        <v>142</v>
      </c>
      <c r="G40" s="115" t="s">
        <v>143</v>
      </c>
      <c r="H40" s="117"/>
      <c r="I40" s="118"/>
      <c r="J40" s="119" t="s">
        <v>144</v>
      </c>
      <c r="K40" s="98"/>
      <c r="L40" s="98"/>
      <c r="M40" s="98"/>
    </row>
    <row r="41" spans="2:13" ht="16.5">
      <c r="B41" s="98"/>
      <c r="C41" s="115" t="s">
        <v>145</v>
      </c>
      <c r="D41" s="116" t="s">
        <v>142</v>
      </c>
      <c r="E41" s="116" t="s">
        <v>142</v>
      </c>
      <c r="F41" s="116" t="s">
        <v>142</v>
      </c>
      <c r="G41" s="115" t="s">
        <v>143</v>
      </c>
      <c r="H41" s="117"/>
      <c r="I41" s="118"/>
      <c r="J41" s="119" t="s">
        <v>144</v>
      </c>
      <c r="K41" s="98"/>
      <c r="L41" s="98"/>
      <c r="M41" s="98"/>
    </row>
    <row r="42" spans="2:13" ht="16.5">
      <c r="B42" s="98"/>
      <c r="C42" s="115" t="s">
        <v>146</v>
      </c>
      <c r="D42" s="116" t="s">
        <v>142</v>
      </c>
      <c r="E42" s="116" t="s">
        <v>142</v>
      </c>
      <c r="F42" s="116" t="s">
        <v>142</v>
      </c>
      <c r="G42" s="115" t="s">
        <v>143</v>
      </c>
      <c r="H42" s="117"/>
      <c r="I42" s="118"/>
      <c r="J42" s="119" t="s">
        <v>144</v>
      </c>
      <c r="K42" s="98"/>
      <c r="L42" s="98"/>
      <c r="M42" s="98"/>
    </row>
    <row r="43" spans="2:13" ht="16.5">
      <c r="B43" s="98"/>
      <c r="C43" s="115" t="s">
        <v>147</v>
      </c>
      <c r="D43" s="116" t="s">
        <v>142</v>
      </c>
      <c r="E43" s="116" t="s">
        <v>142</v>
      </c>
      <c r="F43" s="116" t="s">
        <v>142</v>
      </c>
      <c r="G43" s="115" t="s">
        <v>143</v>
      </c>
      <c r="H43" s="117"/>
      <c r="I43" s="118"/>
      <c r="J43" s="119" t="s">
        <v>144</v>
      </c>
      <c r="K43" s="98"/>
      <c r="L43" s="98"/>
      <c r="M43" s="98"/>
    </row>
    <row r="44" spans="2:13" ht="16.5">
      <c r="B44" s="98"/>
      <c r="C44" s="115" t="s">
        <v>151</v>
      </c>
      <c r="D44" s="116" t="s">
        <v>142</v>
      </c>
      <c r="E44" s="116" t="s">
        <v>142</v>
      </c>
      <c r="F44" s="116" t="s">
        <v>142</v>
      </c>
      <c r="G44" s="115" t="s">
        <v>143</v>
      </c>
      <c r="H44" s="117"/>
      <c r="I44" s="121"/>
      <c r="J44" s="119" t="s">
        <v>144</v>
      </c>
      <c r="K44" s="98"/>
      <c r="L44" s="98"/>
      <c r="M44" s="98"/>
    </row>
    <row r="45" spans="2:13" ht="16.5">
      <c r="B45" s="98"/>
      <c r="C45" s="115" t="s">
        <v>152</v>
      </c>
      <c r="D45" s="120" t="s">
        <v>148</v>
      </c>
      <c r="E45" s="120" t="s">
        <v>148</v>
      </c>
      <c r="F45" s="120" t="s">
        <v>148</v>
      </c>
      <c r="G45" s="115" t="s">
        <v>143</v>
      </c>
      <c r="H45" s="117"/>
      <c r="I45" s="118" t="s">
        <v>153</v>
      </c>
      <c r="J45" s="119" t="s">
        <v>144</v>
      </c>
      <c r="K45" s="98"/>
      <c r="L45" s="98"/>
      <c r="M45" s="98"/>
    </row>
    <row r="46" spans="2:13" ht="16.5">
      <c r="B46" s="98"/>
      <c r="C46" s="115" t="s">
        <v>154</v>
      </c>
      <c r="D46" s="116" t="s">
        <v>142</v>
      </c>
      <c r="E46" s="116" t="s">
        <v>142</v>
      </c>
      <c r="F46" s="116" t="s">
        <v>142</v>
      </c>
      <c r="G46" s="115" t="s">
        <v>143</v>
      </c>
      <c r="H46" s="117"/>
      <c r="I46" s="121"/>
      <c r="J46" s="119" t="s">
        <v>144</v>
      </c>
      <c r="K46" s="98"/>
      <c r="L46" s="98"/>
      <c r="M46" s="98"/>
    </row>
    <row r="47" spans="2:13" ht="16.5">
      <c r="B47" s="98"/>
      <c r="C47" s="115" t="s">
        <v>155</v>
      </c>
      <c r="D47" s="120" t="s">
        <v>148</v>
      </c>
      <c r="E47" s="120" t="s">
        <v>148</v>
      </c>
      <c r="F47" s="120" t="s">
        <v>148</v>
      </c>
      <c r="G47" s="115" t="s">
        <v>143</v>
      </c>
      <c r="H47" s="117"/>
      <c r="I47" s="118" t="s">
        <v>156</v>
      </c>
      <c r="J47" s="119" t="s">
        <v>144</v>
      </c>
      <c r="K47" s="98"/>
      <c r="L47" s="98"/>
      <c r="M47" s="98"/>
    </row>
    <row r="48" spans="2:13" ht="16.5">
      <c r="B48" s="98"/>
      <c r="C48" s="115" t="s">
        <v>157</v>
      </c>
      <c r="D48" s="116" t="s">
        <v>142</v>
      </c>
      <c r="E48" s="116" t="s">
        <v>142</v>
      </c>
      <c r="F48" s="116" t="s">
        <v>142</v>
      </c>
      <c r="G48" s="115" t="s">
        <v>143</v>
      </c>
      <c r="H48" s="117"/>
      <c r="I48" s="118"/>
      <c r="J48" s="119" t="s">
        <v>144</v>
      </c>
      <c r="K48" s="98"/>
      <c r="L48" s="98"/>
      <c r="M48" s="98"/>
    </row>
    <row r="49" spans="2:13" ht="16.5">
      <c r="B49" s="98"/>
      <c r="C49" s="115" t="s">
        <v>158</v>
      </c>
      <c r="D49" s="116" t="s">
        <v>142</v>
      </c>
      <c r="E49" s="116" t="s">
        <v>142</v>
      </c>
      <c r="F49" s="116" t="s">
        <v>142</v>
      </c>
      <c r="G49" s="115" t="s">
        <v>150</v>
      </c>
      <c r="H49" s="117"/>
      <c r="I49" s="121"/>
      <c r="J49" s="119" t="s">
        <v>144</v>
      </c>
      <c r="K49" s="98"/>
      <c r="L49" s="98"/>
      <c r="M49" s="98"/>
    </row>
    <row r="50" spans="2:13" ht="16.5">
      <c r="B50" s="98"/>
      <c r="C50" s="115" t="s">
        <v>159</v>
      </c>
      <c r="D50" s="120" t="s">
        <v>148</v>
      </c>
      <c r="E50" s="120" t="s">
        <v>148</v>
      </c>
      <c r="F50" s="120" t="s">
        <v>148</v>
      </c>
      <c r="G50" s="115" t="s">
        <v>150</v>
      </c>
      <c r="H50" s="117"/>
      <c r="I50" s="118" t="s">
        <v>160</v>
      </c>
      <c r="J50" s="119" t="s">
        <v>144</v>
      </c>
      <c r="K50" s="98"/>
      <c r="L50" s="98"/>
      <c r="M50" s="98"/>
    </row>
    <row r="51" spans="2:13" ht="16.5">
      <c r="B51" s="98"/>
      <c r="C51" s="115" t="s">
        <v>161</v>
      </c>
      <c r="D51" s="116" t="s">
        <v>142</v>
      </c>
      <c r="E51" s="116" t="s">
        <v>142</v>
      </c>
      <c r="F51" s="116" t="s">
        <v>142</v>
      </c>
      <c r="G51" s="115" t="s">
        <v>150</v>
      </c>
      <c r="H51" s="117"/>
      <c r="I51" s="121"/>
      <c r="J51" s="119" t="s">
        <v>144</v>
      </c>
      <c r="K51" s="98"/>
      <c r="L51" s="98"/>
      <c r="M51" s="98"/>
    </row>
    <row r="52" spans="2:13" ht="16.5">
      <c r="B52" s="98"/>
      <c r="C52" s="115" t="s">
        <v>162</v>
      </c>
      <c r="D52" s="120" t="s">
        <v>148</v>
      </c>
      <c r="E52" s="120" t="s">
        <v>148</v>
      </c>
      <c r="F52" s="120" t="s">
        <v>148</v>
      </c>
      <c r="G52" s="115" t="s">
        <v>150</v>
      </c>
      <c r="H52" s="117"/>
      <c r="I52" s="118" t="s">
        <v>163</v>
      </c>
      <c r="J52" s="119" t="s">
        <v>144</v>
      </c>
      <c r="K52" s="98"/>
      <c r="L52" s="98"/>
      <c r="M52" s="98"/>
    </row>
    <row r="53" spans="2:13" ht="16.5">
      <c r="B53" s="98"/>
      <c r="C53" s="115" t="s">
        <v>164</v>
      </c>
      <c r="D53" s="116" t="s">
        <v>142</v>
      </c>
      <c r="E53" s="116" t="s">
        <v>142</v>
      </c>
      <c r="F53" s="116" t="s">
        <v>142</v>
      </c>
      <c r="G53" s="115" t="s">
        <v>143</v>
      </c>
      <c r="H53" s="117"/>
      <c r="I53" s="121"/>
      <c r="J53" s="119" t="s">
        <v>144</v>
      </c>
      <c r="K53" s="98"/>
      <c r="L53" s="98"/>
      <c r="M53" s="98"/>
    </row>
    <row r="54" spans="2:13" ht="16.5">
      <c r="B54" s="98"/>
      <c r="C54" s="115" t="s">
        <v>165</v>
      </c>
      <c r="D54" s="116" t="s">
        <v>142</v>
      </c>
      <c r="E54" s="116" t="s">
        <v>142</v>
      </c>
      <c r="F54" s="116" t="s">
        <v>142</v>
      </c>
      <c r="G54" s="115" t="s">
        <v>143</v>
      </c>
      <c r="H54" s="117"/>
      <c r="I54" s="121"/>
      <c r="J54" s="119" t="s">
        <v>144</v>
      </c>
      <c r="K54" s="98"/>
      <c r="L54" s="98"/>
      <c r="M54" s="98"/>
    </row>
    <row r="55" spans="2:13" ht="16.5">
      <c r="B55" s="98"/>
      <c r="C55" s="115" t="s">
        <v>166</v>
      </c>
      <c r="D55" s="120" t="s">
        <v>148</v>
      </c>
      <c r="E55" s="120" t="s">
        <v>148</v>
      </c>
      <c r="F55" s="120" t="s">
        <v>148</v>
      </c>
      <c r="G55" s="115" t="s">
        <v>150</v>
      </c>
      <c r="H55" s="117"/>
      <c r="I55" s="121" t="s">
        <v>167</v>
      </c>
      <c r="J55" s="119" t="s">
        <v>144</v>
      </c>
      <c r="K55" s="98"/>
      <c r="L55" s="98"/>
      <c r="M55" s="98"/>
    </row>
    <row r="56" spans="2:13" ht="16.5">
      <c r="B56" s="98"/>
      <c r="C56" s="115" t="s">
        <v>168</v>
      </c>
      <c r="D56" s="120" t="s">
        <v>148</v>
      </c>
      <c r="E56" s="120" t="s">
        <v>148</v>
      </c>
      <c r="F56" s="120" t="s">
        <v>148</v>
      </c>
      <c r="G56" s="115" t="s">
        <v>150</v>
      </c>
      <c r="H56" s="117"/>
      <c r="I56" s="121" t="s">
        <v>169</v>
      </c>
      <c r="J56" s="119" t="s">
        <v>144</v>
      </c>
      <c r="K56" s="98"/>
      <c r="L56" s="98"/>
      <c r="M56" s="98"/>
    </row>
    <row r="57" spans="2:13" ht="16.5">
      <c r="B57" s="98"/>
      <c r="C57" s="115" t="s">
        <v>170</v>
      </c>
      <c r="D57" s="116" t="s">
        <v>142</v>
      </c>
      <c r="E57" s="116" t="s">
        <v>142</v>
      </c>
      <c r="F57" s="116" t="s">
        <v>142</v>
      </c>
      <c r="G57" s="115" t="s">
        <v>143</v>
      </c>
      <c r="H57" s="117"/>
      <c r="I57" s="118"/>
      <c r="J57" s="119" t="s">
        <v>144</v>
      </c>
      <c r="K57" s="98"/>
      <c r="L57" s="98"/>
      <c r="M57" s="98"/>
    </row>
    <row r="58" spans="2:13" ht="16.5">
      <c r="B58" s="98"/>
      <c r="C58" s="115" t="s">
        <v>171</v>
      </c>
      <c r="D58" s="120" t="s">
        <v>148</v>
      </c>
      <c r="E58" s="120" t="s">
        <v>148</v>
      </c>
      <c r="F58" s="120" t="s">
        <v>148</v>
      </c>
      <c r="G58" s="115" t="s">
        <v>143</v>
      </c>
      <c r="H58" s="117"/>
      <c r="I58" s="118" t="s">
        <v>153</v>
      </c>
      <c r="J58" s="119" t="s">
        <v>144</v>
      </c>
      <c r="K58" s="98"/>
      <c r="L58" s="98"/>
      <c r="M58" s="98"/>
    </row>
    <row r="59" spans="2:13" ht="16.5">
      <c r="B59" s="98"/>
      <c r="C59" s="115" t="s">
        <v>172</v>
      </c>
      <c r="D59" s="116" t="s">
        <v>142</v>
      </c>
      <c r="E59" s="116" t="s">
        <v>142</v>
      </c>
      <c r="F59" s="116" t="s">
        <v>142</v>
      </c>
      <c r="G59" s="115" t="s">
        <v>143</v>
      </c>
      <c r="H59" s="117"/>
      <c r="I59" s="118"/>
      <c r="J59" s="119" t="s">
        <v>144</v>
      </c>
      <c r="K59" s="98"/>
      <c r="L59" s="98"/>
      <c r="M59" s="98"/>
    </row>
    <row r="60" spans="2:13" ht="16.5">
      <c r="B60" s="98"/>
      <c r="C60" s="115" t="s">
        <v>173</v>
      </c>
      <c r="D60" s="116" t="s">
        <v>142</v>
      </c>
      <c r="E60" s="116" t="s">
        <v>142</v>
      </c>
      <c r="F60" s="116" t="s">
        <v>142</v>
      </c>
      <c r="G60" s="115" t="s">
        <v>143</v>
      </c>
      <c r="H60" s="117"/>
      <c r="I60" s="118"/>
      <c r="J60" s="119" t="s">
        <v>144</v>
      </c>
      <c r="K60" s="98"/>
      <c r="L60" s="98"/>
      <c r="M60" s="98"/>
    </row>
    <row r="61" spans="2:13" ht="16.5">
      <c r="B61" s="98"/>
      <c r="C61" s="115" t="s">
        <v>174</v>
      </c>
      <c r="D61" s="116" t="s">
        <v>142</v>
      </c>
      <c r="E61" s="116" t="s">
        <v>142</v>
      </c>
      <c r="F61" s="116" t="s">
        <v>142</v>
      </c>
      <c r="G61" s="115" t="s">
        <v>150</v>
      </c>
      <c r="H61" s="117"/>
      <c r="I61" s="118"/>
      <c r="J61" s="119" t="s">
        <v>144</v>
      </c>
      <c r="K61" s="98"/>
      <c r="L61" s="98"/>
      <c r="M61" s="98"/>
    </row>
    <row r="62" spans="2:13" ht="16.5">
      <c r="B62" s="98"/>
      <c r="C62" s="115" t="s">
        <v>175</v>
      </c>
      <c r="D62" s="120" t="s">
        <v>148</v>
      </c>
      <c r="E62" s="120" t="s">
        <v>148</v>
      </c>
      <c r="F62" s="120" t="s">
        <v>148</v>
      </c>
      <c r="G62" s="115" t="s">
        <v>150</v>
      </c>
      <c r="H62" s="117"/>
      <c r="I62" s="118" t="s">
        <v>176</v>
      </c>
      <c r="J62" s="119" t="s">
        <v>144</v>
      </c>
      <c r="K62" s="98"/>
      <c r="L62" s="98"/>
      <c r="M62" s="98"/>
    </row>
    <row r="63" spans="2:13" ht="16.5">
      <c r="B63" s="98"/>
      <c r="C63" s="115" t="s">
        <v>177</v>
      </c>
      <c r="D63" s="116" t="s">
        <v>142</v>
      </c>
      <c r="E63" s="116" t="s">
        <v>142</v>
      </c>
      <c r="F63" s="116" t="s">
        <v>142</v>
      </c>
      <c r="G63" s="115" t="s">
        <v>143</v>
      </c>
      <c r="H63" s="117"/>
      <c r="I63" s="118"/>
      <c r="J63" s="119" t="s">
        <v>144</v>
      </c>
      <c r="K63" s="98"/>
      <c r="L63" s="98"/>
      <c r="M63" s="98"/>
    </row>
    <row r="64" spans="2:13" ht="16.5">
      <c r="B64" s="98"/>
      <c r="C64" s="115" t="s">
        <v>178</v>
      </c>
      <c r="D64" s="116" t="s">
        <v>142</v>
      </c>
      <c r="E64" s="116" t="s">
        <v>142</v>
      </c>
      <c r="F64" s="116" t="s">
        <v>142</v>
      </c>
      <c r="G64" s="115" t="s">
        <v>143</v>
      </c>
      <c r="H64" s="117"/>
      <c r="I64" s="118"/>
      <c r="J64" s="119" t="s">
        <v>144</v>
      </c>
      <c r="K64" s="98"/>
      <c r="L64" s="98"/>
      <c r="M64" s="98"/>
    </row>
    <row r="65" spans="2:13" ht="16.5">
      <c r="B65" s="98"/>
      <c r="C65" s="115" t="s">
        <v>179</v>
      </c>
      <c r="D65" s="116" t="s">
        <v>142</v>
      </c>
      <c r="E65" s="116" t="s">
        <v>142</v>
      </c>
      <c r="F65" s="116" t="s">
        <v>142</v>
      </c>
      <c r="G65" s="115" t="s">
        <v>150</v>
      </c>
      <c r="H65" s="117"/>
      <c r="I65" s="118"/>
      <c r="J65" s="119" t="s">
        <v>144</v>
      </c>
      <c r="K65" s="98"/>
      <c r="L65" s="98"/>
      <c r="M65" s="98"/>
    </row>
    <row r="66" spans="2:13" ht="16.5">
      <c r="B66" s="98"/>
      <c r="C66" s="115" t="s">
        <v>180</v>
      </c>
      <c r="D66" s="120" t="s">
        <v>148</v>
      </c>
      <c r="E66" s="120" t="s">
        <v>148</v>
      </c>
      <c r="F66" s="120" t="s">
        <v>148</v>
      </c>
      <c r="G66" s="115" t="s">
        <v>150</v>
      </c>
      <c r="H66" s="117"/>
      <c r="I66" s="121" t="s">
        <v>195</v>
      </c>
      <c r="J66" s="119" t="s">
        <v>144</v>
      </c>
      <c r="K66" s="98"/>
      <c r="L66" s="98"/>
      <c r="M66" s="98"/>
    </row>
    <row r="67" spans="2:13" ht="16.5">
      <c r="B67" s="98"/>
      <c r="C67" s="100"/>
      <c r="D67" s="100"/>
      <c r="E67" s="101"/>
      <c r="F67" s="100"/>
      <c r="G67" s="98"/>
      <c r="H67" s="98"/>
      <c r="I67" s="98"/>
      <c r="J67" s="122"/>
      <c r="K67" s="98"/>
      <c r="L67" s="98"/>
      <c r="M67" s="98"/>
    </row>
    <row r="68" spans="2:13" ht="16.5">
      <c r="B68" s="98"/>
      <c r="C68" s="100"/>
      <c r="D68" s="100"/>
      <c r="E68" s="101"/>
      <c r="F68" s="100"/>
      <c r="G68" s="98"/>
      <c r="H68" s="98"/>
      <c r="I68" s="98"/>
      <c r="J68" s="122"/>
      <c r="K68" s="98"/>
      <c r="L68" s="98"/>
      <c r="M68" s="98"/>
    </row>
    <row r="69" spans="2:13" ht="16.5">
      <c r="B69" s="98"/>
      <c r="C69" s="103" t="s">
        <v>181</v>
      </c>
      <c r="D69" s="123" t="s">
        <v>134</v>
      </c>
      <c r="E69" s="123" t="s">
        <v>135</v>
      </c>
      <c r="F69" s="123" t="s">
        <v>136</v>
      </c>
      <c r="G69" s="115"/>
      <c r="H69" s="124" t="s">
        <v>138</v>
      </c>
      <c r="I69" s="125" t="s">
        <v>139</v>
      </c>
      <c r="J69" s="126" t="s">
        <v>140</v>
      </c>
      <c r="K69" s="98"/>
      <c r="L69" s="98"/>
      <c r="M69" s="98"/>
    </row>
    <row r="70" spans="2:13" ht="16.5">
      <c r="B70" s="98"/>
      <c r="C70" s="115" t="s">
        <v>183</v>
      </c>
      <c r="D70" s="116" t="s">
        <v>142</v>
      </c>
      <c r="E70" s="116" t="s">
        <v>142</v>
      </c>
      <c r="F70" s="116" t="s">
        <v>182</v>
      </c>
      <c r="G70" s="127"/>
      <c r="H70" s="127"/>
      <c r="I70" s="127"/>
      <c r="J70" s="128" t="s">
        <v>144</v>
      </c>
      <c r="K70" s="98"/>
      <c r="L70" s="98"/>
      <c r="M70" s="98"/>
    </row>
    <row r="71" spans="2:13" ht="16.5">
      <c r="B71" s="98"/>
      <c r="C71" s="115" t="s">
        <v>184</v>
      </c>
      <c r="D71" s="116" t="s">
        <v>142</v>
      </c>
      <c r="E71" s="116" t="s">
        <v>142</v>
      </c>
      <c r="F71" s="116" t="s">
        <v>182</v>
      </c>
      <c r="G71" s="127"/>
      <c r="H71" s="127"/>
      <c r="I71" s="127"/>
      <c r="J71" s="128" t="s">
        <v>144</v>
      </c>
      <c r="K71" s="98"/>
      <c r="L71" s="98"/>
      <c r="M71" s="98"/>
    </row>
    <row r="72" spans="2:13" ht="16.5">
      <c r="B72" s="98"/>
      <c r="C72" s="115" t="s">
        <v>185</v>
      </c>
      <c r="D72" s="116" t="s">
        <v>142</v>
      </c>
      <c r="E72" s="116" t="s">
        <v>142</v>
      </c>
      <c r="F72" s="116" t="s">
        <v>182</v>
      </c>
      <c r="G72" s="127"/>
      <c r="H72" s="127"/>
      <c r="I72" s="127"/>
      <c r="J72" s="128" t="s">
        <v>144</v>
      </c>
      <c r="K72" s="98"/>
      <c r="L72" s="98"/>
      <c r="M72" s="98"/>
    </row>
    <row r="73" spans="2:13" ht="16.5">
      <c r="B73" s="98"/>
      <c r="C73" s="115" t="s">
        <v>186</v>
      </c>
      <c r="D73" s="116" t="s">
        <v>142</v>
      </c>
      <c r="E73" s="116" t="s">
        <v>142</v>
      </c>
      <c r="F73" s="116" t="s">
        <v>182</v>
      </c>
      <c r="G73" s="127"/>
      <c r="H73" s="127"/>
      <c r="I73" s="127"/>
      <c r="J73" s="128" t="s">
        <v>144</v>
      </c>
      <c r="K73" s="98"/>
      <c r="L73" s="98"/>
      <c r="M73" s="98"/>
    </row>
    <row r="74" spans="2:13" ht="16.5">
      <c r="B74" s="98"/>
      <c r="C74" s="115" t="s">
        <v>187</v>
      </c>
      <c r="D74" s="116" t="s">
        <v>142</v>
      </c>
      <c r="E74" s="116" t="s">
        <v>142</v>
      </c>
      <c r="F74" s="116" t="s">
        <v>182</v>
      </c>
      <c r="G74" s="127"/>
      <c r="H74" s="127"/>
      <c r="I74" s="127"/>
      <c r="J74" s="128" t="s">
        <v>144</v>
      </c>
      <c r="K74" s="98"/>
      <c r="L74" s="98"/>
      <c r="M74" s="98"/>
    </row>
    <row r="75" spans="2:13" ht="16.5">
      <c r="B75" s="98"/>
      <c r="C75" s="115" t="s">
        <v>188</v>
      </c>
      <c r="D75" s="116" t="s">
        <v>142</v>
      </c>
      <c r="E75" s="116" t="s">
        <v>142</v>
      </c>
      <c r="F75" s="116" t="s">
        <v>182</v>
      </c>
      <c r="G75" s="127"/>
      <c r="H75" s="127"/>
      <c r="I75" s="127"/>
      <c r="J75" s="128" t="s">
        <v>144</v>
      </c>
      <c r="K75" s="98"/>
      <c r="L75" s="98"/>
      <c r="M75" s="98"/>
    </row>
    <row r="76" spans="2:13" ht="16.5">
      <c r="B76" s="98"/>
      <c r="C76" s="115" t="s">
        <v>189</v>
      </c>
      <c r="D76" s="116" t="s">
        <v>142</v>
      </c>
      <c r="E76" s="116" t="s">
        <v>142</v>
      </c>
      <c r="F76" s="116" t="s">
        <v>182</v>
      </c>
      <c r="G76" s="127"/>
      <c r="H76" s="127"/>
      <c r="I76" s="127"/>
      <c r="J76" s="128" t="s">
        <v>144</v>
      </c>
      <c r="K76" s="98"/>
      <c r="L76" s="98"/>
      <c r="M76" s="98"/>
    </row>
    <row r="77" spans="2:13" ht="16.5">
      <c r="B77" s="98"/>
      <c r="C77" s="115" t="s">
        <v>190</v>
      </c>
      <c r="D77" s="116" t="s">
        <v>142</v>
      </c>
      <c r="E77" s="116" t="s">
        <v>142</v>
      </c>
      <c r="F77" s="116" t="s">
        <v>182</v>
      </c>
      <c r="G77" s="127"/>
      <c r="H77" s="127"/>
      <c r="I77" s="127"/>
      <c r="J77" s="128" t="s">
        <v>144</v>
      </c>
      <c r="K77" s="98"/>
      <c r="L77" s="98"/>
      <c r="M77" s="98"/>
    </row>
    <row r="78" spans="2:13" ht="16.5">
      <c r="B78" s="98"/>
      <c r="C78" s="100"/>
      <c r="D78" s="100"/>
      <c r="E78" s="101"/>
      <c r="F78" s="100"/>
      <c r="G78" s="98"/>
      <c r="H78" s="98"/>
      <c r="I78" s="98"/>
      <c r="J78" s="98"/>
      <c r="K78" s="98"/>
      <c r="L78" s="98"/>
      <c r="M78" s="98"/>
    </row>
    <row r="79" spans="2:13" ht="16.5">
      <c r="B79" s="98"/>
      <c r="C79" s="100"/>
      <c r="D79" s="100"/>
      <c r="E79" s="101"/>
      <c r="F79" s="100"/>
      <c r="G79" s="98"/>
      <c r="H79" s="98"/>
      <c r="I79" s="98"/>
      <c r="J79" s="98"/>
      <c r="K79" s="98"/>
      <c r="L79" s="98"/>
      <c r="M79" s="98"/>
    </row>
    <row r="80" spans="2:13" ht="16.5">
      <c r="B80" s="98"/>
      <c r="C80" s="100"/>
      <c r="D80" s="100"/>
      <c r="E80" s="101"/>
      <c r="F80" s="100"/>
      <c r="G80" s="98"/>
      <c r="H80" s="98"/>
      <c r="I80" s="98"/>
      <c r="J80" s="98"/>
      <c r="K80" s="98"/>
      <c r="L80" s="98"/>
      <c r="M80" s="98"/>
    </row>
    <row r="81" spans="2:13" ht="19.5">
      <c r="B81" s="98"/>
      <c r="C81" s="99" t="s">
        <v>201</v>
      </c>
      <c r="D81" s="100"/>
      <c r="E81" s="101"/>
      <c r="F81" s="100"/>
      <c r="G81" s="98"/>
      <c r="H81" s="98"/>
      <c r="I81" s="98"/>
      <c r="J81" s="122"/>
      <c r="K81" s="98"/>
      <c r="L81" s="98"/>
      <c r="M81" s="98"/>
    </row>
    <row r="82" spans="2:13" ht="16.5">
      <c r="B82" s="98"/>
      <c r="C82" s="100"/>
      <c r="D82" s="100"/>
      <c r="E82" s="101"/>
      <c r="F82" s="100"/>
      <c r="G82" s="98"/>
      <c r="H82" s="98"/>
      <c r="I82" s="98"/>
      <c r="J82" s="122"/>
      <c r="K82" s="98"/>
      <c r="L82" s="98"/>
      <c r="M82" s="98"/>
    </row>
    <row r="83" spans="2:13" ht="16.5">
      <c r="B83" s="98"/>
      <c r="C83" s="129"/>
      <c r="D83" s="134" t="s">
        <v>197</v>
      </c>
      <c r="E83" s="134" t="s">
        <v>58</v>
      </c>
      <c r="F83" s="134" t="s">
        <v>91</v>
      </c>
      <c r="G83" s="134" t="s">
        <v>120</v>
      </c>
      <c r="H83" s="124" t="s">
        <v>138</v>
      </c>
      <c r="I83" s="124" t="s">
        <v>139</v>
      </c>
      <c r="J83" s="131" t="s">
        <v>140</v>
      </c>
      <c r="K83" s="98"/>
      <c r="L83" s="98"/>
      <c r="M83" s="98"/>
    </row>
    <row r="84" spans="2:13" ht="16.5">
      <c r="B84" s="98"/>
      <c r="C84" s="133" t="s">
        <v>202</v>
      </c>
      <c r="D84" s="133"/>
      <c r="E84" s="135">
        <v>2</v>
      </c>
      <c r="F84" s="135">
        <v>2</v>
      </c>
      <c r="G84" s="135">
        <v>100</v>
      </c>
      <c r="H84" s="127"/>
      <c r="I84" s="127"/>
      <c r="J84" s="128" t="s">
        <v>144</v>
      </c>
      <c r="K84" s="98"/>
      <c r="L84" s="98"/>
      <c r="M84" s="98"/>
    </row>
    <row r="85" spans="2:13" ht="16.5">
      <c r="B85" s="98"/>
      <c r="C85" s="133" t="s">
        <v>203</v>
      </c>
      <c r="D85" s="135">
        <v>20</v>
      </c>
      <c r="E85" s="135">
        <v>2</v>
      </c>
      <c r="F85" s="135">
        <v>2</v>
      </c>
      <c r="G85" s="135">
        <v>100</v>
      </c>
      <c r="H85" s="127"/>
      <c r="I85" s="127"/>
      <c r="J85" s="128" t="s">
        <v>144</v>
      </c>
      <c r="K85" s="98"/>
      <c r="L85" s="98"/>
      <c r="M85" s="98"/>
    </row>
    <row r="86" spans="2:13" ht="16.5">
      <c r="B86" s="98"/>
      <c r="C86" s="100"/>
      <c r="D86" s="100"/>
      <c r="E86" s="101"/>
      <c r="F86" s="100"/>
      <c r="G86" s="98"/>
      <c r="H86" s="98"/>
      <c r="I86" s="98"/>
      <c r="J86" s="98"/>
      <c r="K86" s="98"/>
      <c r="L86" s="98"/>
      <c r="M86" s="98"/>
    </row>
    <row r="87" spans="2:13" ht="16.5">
      <c r="B87" s="98"/>
      <c r="C87" s="100"/>
      <c r="D87" s="100"/>
      <c r="E87" s="101"/>
      <c r="F87" s="100"/>
      <c r="G87" s="98"/>
      <c r="H87" s="98"/>
      <c r="I87" s="98"/>
      <c r="J87" s="98"/>
      <c r="K87" s="98"/>
      <c r="L87" s="98"/>
      <c r="M87" s="98"/>
    </row>
    <row r="88" spans="2:13" ht="16.5">
      <c r="B88" s="98"/>
      <c r="C88" s="100"/>
      <c r="D88" s="100"/>
      <c r="E88" s="101"/>
      <c r="F88" s="100"/>
      <c r="G88" s="98"/>
      <c r="H88" s="98"/>
      <c r="I88" s="98"/>
      <c r="J88" s="98"/>
      <c r="K88" s="98"/>
      <c r="L88" s="98"/>
      <c r="M88" s="98"/>
    </row>
    <row r="89" spans="2:13" ht="16.5">
      <c r="B89" s="98"/>
      <c r="C89" s="100"/>
      <c r="D89" s="100"/>
      <c r="E89" s="101"/>
      <c r="F89" s="100"/>
      <c r="G89" s="98"/>
      <c r="H89" s="98"/>
      <c r="I89" s="98"/>
      <c r="J89" s="98"/>
      <c r="K89" s="98"/>
      <c r="L89" s="98"/>
      <c r="M89" s="98"/>
    </row>
    <row r="90" spans="2:13" ht="16.5">
      <c r="B90" s="98"/>
      <c r="C90" s="100"/>
      <c r="D90" s="100"/>
      <c r="E90" s="101"/>
      <c r="F90" s="100"/>
      <c r="G90" s="98"/>
      <c r="H90" s="98"/>
      <c r="I90" s="98"/>
      <c r="J90" s="98"/>
      <c r="K90" s="98"/>
      <c r="L90" s="98"/>
      <c r="M90" s="98"/>
    </row>
    <row r="91" spans="2:13" ht="16.5">
      <c r="B91" s="98"/>
      <c r="C91" s="100"/>
      <c r="D91" s="100"/>
      <c r="E91" s="101"/>
      <c r="F91" s="100"/>
      <c r="G91" s="98"/>
      <c r="H91" s="98"/>
      <c r="I91" s="98"/>
      <c r="J91" s="98"/>
      <c r="K91" s="98"/>
      <c r="L91" s="98"/>
      <c r="M91" s="98"/>
    </row>
    <row r="92" spans="2:13" ht="16.5">
      <c r="B92" s="98"/>
      <c r="C92" s="100"/>
      <c r="D92" s="100"/>
      <c r="E92" s="101"/>
      <c r="F92" s="100"/>
      <c r="G92" s="98"/>
      <c r="H92" s="98"/>
      <c r="I92" s="98"/>
      <c r="J92" s="98"/>
      <c r="K92" s="98"/>
      <c r="L92" s="98"/>
      <c r="M92" s="98"/>
    </row>
    <row r="93" spans="2:13" ht="16.5">
      <c r="B93" s="98"/>
      <c r="C93" s="100"/>
      <c r="D93" s="100"/>
      <c r="E93" s="101"/>
      <c r="F93" s="100"/>
      <c r="G93" s="98"/>
      <c r="H93" s="98"/>
      <c r="I93" s="98"/>
      <c r="J93" s="98"/>
      <c r="K93" s="98"/>
      <c r="L93" s="98"/>
      <c r="M93" s="98"/>
    </row>
    <row r="94" spans="2:13" ht="16.5">
      <c r="B94" s="98"/>
      <c r="C94" s="100"/>
      <c r="D94" s="100"/>
      <c r="E94" s="101"/>
      <c r="F94" s="100"/>
      <c r="G94" s="98"/>
      <c r="H94" s="98"/>
      <c r="I94" s="98"/>
      <c r="J94" s="98"/>
      <c r="K94" s="98"/>
      <c r="L94" s="98"/>
      <c r="M94" s="98"/>
    </row>
    <row r="95" spans="2:13" ht="16.5">
      <c r="B95" s="98"/>
      <c r="C95" s="100"/>
      <c r="D95" s="100"/>
      <c r="E95" s="101"/>
      <c r="F95" s="100"/>
      <c r="G95" s="98"/>
      <c r="H95" s="98"/>
      <c r="I95" s="98"/>
      <c r="J95" s="98"/>
      <c r="K95" s="98"/>
      <c r="L95" s="98"/>
      <c r="M95" s="98"/>
    </row>
    <row r="96" spans="2:13" ht="16.5">
      <c r="B96" s="98"/>
      <c r="C96" s="100"/>
      <c r="D96" s="100"/>
      <c r="E96" s="101"/>
      <c r="F96" s="100"/>
      <c r="G96" s="98"/>
      <c r="H96" s="98"/>
      <c r="I96" s="98"/>
      <c r="J96" s="98"/>
      <c r="K96" s="98"/>
      <c r="L96" s="98"/>
      <c r="M96" s="98"/>
    </row>
    <row r="97" spans="2:13" ht="16.5">
      <c r="B97" s="98"/>
      <c r="C97" s="100"/>
      <c r="D97" s="100"/>
      <c r="E97" s="101"/>
      <c r="F97" s="100"/>
      <c r="G97" s="98"/>
      <c r="H97" s="98"/>
      <c r="I97" s="98"/>
      <c r="J97" s="98"/>
      <c r="K97" s="98"/>
      <c r="L97" s="98"/>
      <c r="M97" s="98"/>
    </row>
    <row r="98" spans="2:13" ht="16.5">
      <c r="B98" s="98"/>
      <c r="C98" s="100"/>
      <c r="D98" s="100"/>
      <c r="E98" s="101"/>
      <c r="F98" s="100"/>
      <c r="G98" s="98"/>
      <c r="H98" s="98"/>
      <c r="I98" s="98"/>
      <c r="J98" s="98"/>
      <c r="K98" s="98"/>
      <c r="L98" s="98"/>
      <c r="M98" s="98"/>
    </row>
    <row r="99" spans="2:13" ht="16.5">
      <c r="B99" s="98"/>
      <c r="C99" s="100"/>
      <c r="D99" s="100"/>
      <c r="E99" s="101"/>
      <c r="F99" s="100"/>
      <c r="G99" s="98"/>
      <c r="H99" s="98"/>
      <c r="I99" s="98"/>
      <c r="J99" s="98"/>
      <c r="K99" s="98"/>
      <c r="L99" s="98"/>
      <c r="M99" s="98"/>
    </row>
    <row r="100" spans="2:13" ht="16.5">
      <c r="B100" s="98"/>
      <c r="C100" s="100"/>
      <c r="D100" s="100"/>
      <c r="E100" s="101"/>
      <c r="F100" s="100"/>
      <c r="G100" s="98"/>
      <c r="H100" s="98"/>
      <c r="I100" s="98"/>
      <c r="J100" s="98"/>
      <c r="K100" s="98"/>
      <c r="L100" s="98"/>
      <c r="M100" s="98"/>
    </row>
    <row r="101" spans="2:13" ht="16.5">
      <c r="B101" s="98"/>
      <c r="C101" s="100"/>
      <c r="D101" s="100"/>
      <c r="E101" s="101"/>
      <c r="F101" s="100"/>
      <c r="G101" s="98"/>
      <c r="H101" s="98"/>
      <c r="I101" s="98"/>
      <c r="J101" s="98"/>
      <c r="K101" s="98"/>
      <c r="L101" s="98"/>
      <c r="M101" s="98"/>
    </row>
    <row r="102" spans="2:13" ht="16.5">
      <c r="B102" s="98"/>
      <c r="C102" s="100"/>
      <c r="D102" s="100"/>
      <c r="E102" s="101"/>
      <c r="F102" s="100"/>
      <c r="G102" s="98"/>
      <c r="H102" s="98"/>
      <c r="I102" s="98"/>
      <c r="J102" s="98"/>
      <c r="K102" s="98"/>
      <c r="L102" s="98"/>
      <c r="M102" s="98"/>
    </row>
    <row r="103" spans="2:13" ht="16.5">
      <c r="B103" s="98"/>
      <c r="C103" s="100"/>
      <c r="D103" s="100"/>
      <c r="E103" s="101"/>
      <c r="F103" s="100"/>
      <c r="G103" s="98"/>
      <c r="H103" s="98"/>
      <c r="I103" s="98"/>
      <c r="J103" s="98"/>
      <c r="K103" s="98"/>
      <c r="L103" s="98"/>
      <c r="M103" s="98"/>
    </row>
    <row r="104" spans="2:13" ht="16.5">
      <c r="B104" s="98"/>
      <c r="C104" s="100"/>
      <c r="D104" s="100"/>
      <c r="E104" s="101"/>
      <c r="F104" s="100"/>
      <c r="G104" s="98"/>
      <c r="H104" s="98"/>
      <c r="I104" s="98"/>
      <c r="J104" s="98"/>
      <c r="K104" s="98"/>
      <c r="L104" s="98"/>
      <c r="M104" s="98"/>
    </row>
    <row r="105" spans="2:13" ht="16.5">
      <c r="B105" s="98"/>
      <c r="C105" s="100"/>
      <c r="D105" s="100"/>
      <c r="E105" s="101"/>
      <c r="F105" s="100"/>
      <c r="G105" s="98"/>
      <c r="H105" s="98"/>
      <c r="I105" s="98"/>
      <c r="J105" s="98"/>
      <c r="K105" s="98"/>
      <c r="L105" s="98"/>
      <c r="M105" s="98"/>
    </row>
    <row r="106" spans="2:13" ht="16.5">
      <c r="B106" s="98"/>
      <c r="C106" s="100"/>
      <c r="D106" s="100"/>
      <c r="E106" s="101"/>
      <c r="F106" s="100"/>
      <c r="G106" s="98"/>
      <c r="H106" s="98"/>
      <c r="I106" s="98"/>
      <c r="J106" s="98"/>
      <c r="K106" s="98"/>
      <c r="L106" s="98"/>
      <c r="M106" s="98"/>
    </row>
    <row r="107" spans="2:13" ht="16.5">
      <c r="B107" s="98"/>
      <c r="C107" s="100"/>
      <c r="D107" s="100"/>
      <c r="E107" s="101"/>
      <c r="F107" s="100"/>
      <c r="G107" s="98"/>
      <c r="H107" s="98"/>
      <c r="I107" s="98"/>
      <c r="J107" s="98"/>
      <c r="K107" s="98"/>
      <c r="L107" s="98"/>
      <c r="M107" s="98"/>
    </row>
    <row r="108" spans="2:13" ht="16.5">
      <c r="B108" s="98"/>
      <c r="C108" s="100"/>
      <c r="D108" s="100"/>
      <c r="E108" s="101"/>
      <c r="F108" s="100"/>
      <c r="G108" s="98"/>
      <c r="H108" s="98"/>
      <c r="I108" s="98"/>
      <c r="J108" s="98"/>
      <c r="K108" s="98"/>
      <c r="L108" s="98"/>
      <c r="M108" s="98"/>
    </row>
    <row r="109" spans="2:13" ht="16.5">
      <c r="B109" s="98"/>
      <c r="C109" s="100"/>
      <c r="D109" s="100"/>
      <c r="E109" s="101"/>
      <c r="F109" s="100"/>
      <c r="G109" s="98"/>
      <c r="H109" s="98"/>
      <c r="I109" s="98"/>
      <c r="J109" s="98"/>
      <c r="K109" s="98"/>
      <c r="L109" s="98"/>
      <c r="M109" s="98"/>
    </row>
    <row r="110" spans="2:13" ht="16.5">
      <c r="B110" s="98"/>
      <c r="C110" s="100"/>
      <c r="D110" s="100"/>
      <c r="E110" s="101"/>
      <c r="F110" s="100"/>
      <c r="G110" s="98"/>
      <c r="H110" s="98"/>
      <c r="I110" s="98"/>
      <c r="J110" s="98"/>
      <c r="K110" s="98"/>
      <c r="L110" s="98"/>
      <c r="M110" s="98"/>
    </row>
    <row r="111" spans="2:13" ht="16.5">
      <c r="B111" s="98"/>
      <c r="C111" s="100"/>
      <c r="D111" s="100"/>
      <c r="E111" s="101"/>
      <c r="F111" s="100"/>
      <c r="G111" s="98"/>
      <c r="H111" s="98"/>
      <c r="I111" s="98"/>
      <c r="J111" s="98"/>
      <c r="K111" s="98"/>
      <c r="L111" s="98"/>
      <c r="M111" s="98"/>
    </row>
    <row r="112" spans="2:13" ht="16.5">
      <c r="B112" s="98"/>
      <c r="C112" s="100"/>
      <c r="D112" s="100"/>
      <c r="E112" s="101"/>
      <c r="F112" s="100"/>
      <c r="G112" s="98"/>
      <c r="H112" s="98"/>
      <c r="I112" s="98"/>
      <c r="J112" s="98"/>
      <c r="K112" s="98"/>
      <c r="L112" s="98"/>
      <c r="M112" s="98"/>
    </row>
    <row r="113" spans="2:13" ht="16.5">
      <c r="B113" s="98"/>
      <c r="C113" s="100"/>
      <c r="D113" s="100"/>
      <c r="E113" s="101"/>
      <c r="F113" s="100"/>
      <c r="G113" s="98"/>
      <c r="H113" s="98"/>
      <c r="I113" s="98"/>
      <c r="J113" s="98"/>
      <c r="K113" s="98"/>
      <c r="L113" s="98"/>
      <c r="M113" s="98"/>
    </row>
    <row r="114" spans="2:13" ht="16.5">
      <c r="B114" s="98"/>
      <c r="C114" s="100"/>
      <c r="D114" s="100"/>
      <c r="E114" s="101"/>
      <c r="F114" s="100"/>
      <c r="G114" s="98"/>
      <c r="H114" s="98"/>
      <c r="I114" s="98"/>
      <c r="J114" s="98"/>
      <c r="K114" s="98"/>
      <c r="L114" s="98"/>
      <c r="M114" s="98"/>
    </row>
    <row r="115" spans="2:13" ht="16.5">
      <c r="B115" s="98"/>
      <c r="C115" s="100"/>
      <c r="D115" s="100"/>
      <c r="E115" s="101"/>
      <c r="F115" s="100"/>
      <c r="G115" s="98"/>
      <c r="H115" s="98"/>
      <c r="I115" s="98"/>
      <c r="J115" s="98"/>
      <c r="K115" s="98"/>
      <c r="L115" s="98"/>
      <c r="M115" s="98"/>
    </row>
    <row r="116" spans="2:13" ht="16.5">
      <c r="B116" s="98"/>
      <c r="C116" s="100"/>
      <c r="D116" s="100"/>
      <c r="E116" s="101"/>
      <c r="F116" s="100"/>
      <c r="G116" s="98"/>
      <c r="H116" s="98"/>
      <c r="I116" s="98"/>
      <c r="J116" s="98"/>
      <c r="K116" s="98"/>
      <c r="L116" s="98"/>
      <c r="M116" s="98"/>
    </row>
    <row r="117" spans="2:13" ht="16.5">
      <c r="B117" s="98"/>
      <c r="C117" s="100"/>
      <c r="D117" s="100"/>
      <c r="E117" s="101"/>
      <c r="F117" s="100"/>
      <c r="G117" s="98"/>
      <c r="H117" s="98"/>
      <c r="I117" s="98"/>
      <c r="J117" s="98"/>
      <c r="K117" s="98"/>
      <c r="L117" s="98"/>
      <c r="M117" s="98"/>
    </row>
    <row r="118" spans="2:13" ht="16.5">
      <c r="B118" s="98"/>
      <c r="C118" s="100"/>
      <c r="D118" s="100"/>
      <c r="E118" s="101"/>
      <c r="F118" s="100"/>
      <c r="G118" s="98"/>
      <c r="H118" s="98"/>
      <c r="I118" s="98"/>
      <c r="J118" s="98"/>
      <c r="K118" s="98"/>
      <c r="L118" s="98"/>
      <c r="M118" s="98"/>
    </row>
    <row r="119" spans="2:13" ht="16.5">
      <c r="B119" s="98"/>
      <c r="C119" s="100"/>
      <c r="D119" s="100"/>
      <c r="E119" s="101"/>
      <c r="F119" s="100"/>
      <c r="G119" s="98"/>
      <c r="H119" s="98"/>
      <c r="I119" s="98"/>
      <c r="J119" s="98"/>
      <c r="K119" s="98"/>
      <c r="L119" s="98"/>
      <c r="M119" s="98"/>
    </row>
    <row r="120" spans="2:13" ht="16.5">
      <c r="B120" s="98"/>
      <c r="C120" s="100"/>
      <c r="D120" s="100"/>
      <c r="E120" s="101"/>
      <c r="F120" s="100"/>
      <c r="G120" s="98"/>
      <c r="H120" s="98"/>
      <c r="I120" s="98"/>
      <c r="J120" s="98"/>
      <c r="K120" s="98"/>
      <c r="L120" s="98"/>
      <c r="M120" s="98"/>
    </row>
    <row r="121" spans="2:13" ht="16.5">
      <c r="B121" s="98"/>
      <c r="C121" s="100"/>
      <c r="D121" s="100"/>
      <c r="E121" s="101"/>
      <c r="F121" s="100"/>
      <c r="G121" s="98"/>
      <c r="H121" s="98"/>
      <c r="I121" s="98"/>
      <c r="J121" s="98"/>
      <c r="K121" s="98"/>
      <c r="L121" s="98"/>
      <c r="M121" s="98"/>
    </row>
    <row r="122" spans="2:13" ht="16.5">
      <c r="B122" s="98"/>
      <c r="C122" s="100"/>
      <c r="D122" s="100"/>
      <c r="E122" s="101"/>
      <c r="F122" s="100"/>
      <c r="G122" s="98"/>
      <c r="H122" s="98"/>
      <c r="I122" s="98"/>
      <c r="J122" s="98"/>
      <c r="K122" s="98"/>
      <c r="L122" s="98"/>
      <c r="M122" s="98"/>
    </row>
    <row r="123" spans="2:13" ht="16.5">
      <c r="B123" s="98"/>
      <c r="C123" s="100"/>
      <c r="D123" s="100"/>
      <c r="E123" s="101"/>
      <c r="F123" s="100"/>
      <c r="G123" s="98"/>
      <c r="H123" s="98"/>
      <c r="I123" s="98"/>
      <c r="J123" s="98"/>
      <c r="K123" s="98"/>
      <c r="L123" s="98"/>
      <c r="M123" s="98"/>
    </row>
    <row r="124" spans="2:13" ht="16.5">
      <c r="B124" s="98"/>
      <c r="C124" s="100"/>
      <c r="D124" s="100"/>
      <c r="E124" s="101"/>
      <c r="F124" s="100"/>
      <c r="G124" s="98"/>
      <c r="H124" s="98"/>
      <c r="I124" s="98"/>
      <c r="J124" s="98"/>
      <c r="K124" s="98"/>
      <c r="L124" s="98"/>
      <c r="M124" s="98"/>
    </row>
    <row r="125" spans="2:13" ht="16.5">
      <c r="B125" s="98"/>
      <c r="C125" s="100"/>
      <c r="D125" s="100"/>
      <c r="E125" s="101"/>
      <c r="F125" s="100"/>
      <c r="G125" s="98"/>
      <c r="H125" s="98"/>
      <c r="I125" s="98"/>
      <c r="J125" s="98"/>
      <c r="K125" s="98"/>
      <c r="L125" s="98"/>
      <c r="M125" s="98"/>
    </row>
    <row r="126" spans="2:13" ht="16.5">
      <c r="B126" s="98"/>
      <c r="C126" s="100"/>
      <c r="D126" s="100"/>
      <c r="E126" s="101"/>
      <c r="F126" s="100"/>
      <c r="G126" s="98"/>
      <c r="H126" s="98"/>
      <c r="I126" s="98"/>
      <c r="J126" s="98"/>
      <c r="K126" s="98"/>
      <c r="L126" s="98"/>
      <c r="M126" s="98"/>
    </row>
    <row r="127" spans="2:13" ht="16.5">
      <c r="B127" s="98"/>
      <c r="C127" s="100"/>
      <c r="D127" s="100"/>
      <c r="E127" s="101"/>
      <c r="F127" s="100"/>
      <c r="G127" s="98"/>
      <c r="H127" s="98"/>
      <c r="I127" s="98"/>
      <c r="J127" s="98"/>
      <c r="K127" s="98"/>
      <c r="L127" s="98"/>
      <c r="M127" s="98"/>
    </row>
    <row r="128" spans="2:13" ht="16.5">
      <c r="B128" s="98"/>
      <c r="C128" s="100"/>
      <c r="D128" s="100"/>
      <c r="E128" s="101"/>
      <c r="F128" s="100"/>
      <c r="G128" s="98"/>
      <c r="H128" s="98"/>
      <c r="I128" s="98"/>
      <c r="J128" s="98"/>
      <c r="K128" s="98"/>
      <c r="L128" s="98"/>
      <c r="M128" s="98"/>
    </row>
    <row r="129" spans="2:13" ht="16.5">
      <c r="B129" s="98"/>
      <c r="C129" s="100"/>
      <c r="D129" s="100"/>
      <c r="E129" s="101"/>
      <c r="F129" s="100"/>
      <c r="G129" s="98"/>
      <c r="H129" s="98"/>
      <c r="I129" s="98"/>
      <c r="J129" s="98"/>
      <c r="K129" s="98"/>
      <c r="L129" s="98"/>
      <c r="M129" s="98"/>
    </row>
    <row r="130" spans="2:13" ht="16.5">
      <c r="B130" s="98"/>
      <c r="C130" s="100"/>
      <c r="D130" s="100"/>
      <c r="E130" s="101"/>
      <c r="F130" s="100"/>
      <c r="G130" s="98"/>
      <c r="H130" s="98"/>
      <c r="I130" s="98"/>
      <c r="J130" s="98"/>
      <c r="K130" s="98"/>
      <c r="L130" s="98"/>
      <c r="M130" s="98"/>
    </row>
    <row r="131" spans="2:13" ht="16.5">
      <c r="B131" s="98"/>
      <c r="C131" s="100"/>
      <c r="D131" s="100"/>
      <c r="E131" s="101"/>
      <c r="F131" s="100"/>
      <c r="G131" s="98"/>
      <c r="H131" s="98"/>
      <c r="I131" s="98"/>
      <c r="J131" s="98"/>
      <c r="K131" s="98"/>
      <c r="L131" s="98"/>
      <c r="M131" s="98"/>
    </row>
    <row r="132" spans="2:13" ht="16.5">
      <c r="B132" s="98"/>
      <c r="C132" s="100"/>
      <c r="D132" s="100"/>
      <c r="E132" s="101"/>
      <c r="F132" s="100"/>
      <c r="G132" s="98"/>
      <c r="H132" s="98"/>
      <c r="I132" s="98"/>
      <c r="J132" s="98"/>
      <c r="K132" s="98"/>
      <c r="L132" s="98"/>
      <c r="M132" s="98"/>
    </row>
    <row r="133" spans="2:13" ht="16.5">
      <c r="B133" s="98"/>
      <c r="C133" s="100"/>
      <c r="D133" s="100"/>
      <c r="E133" s="101"/>
      <c r="F133" s="100"/>
      <c r="G133" s="98"/>
      <c r="H133" s="98"/>
      <c r="I133" s="98"/>
      <c r="J133" s="98"/>
      <c r="K133" s="98"/>
      <c r="L133" s="98"/>
      <c r="M133" s="98"/>
    </row>
    <row r="134" spans="2:13" ht="16.5">
      <c r="B134" s="98"/>
      <c r="C134" s="100"/>
      <c r="D134" s="100"/>
      <c r="E134" s="101"/>
      <c r="F134" s="100"/>
      <c r="G134" s="98"/>
      <c r="H134" s="98"/>
      <c r="I134" s="98"/>
      <c r="J134" s="98"/>
      <c r="K134" s="98"/>
      <c r="L134" s="98"/>
      <c r="M134" s="98"/>
    </row>
    <row r="135" spans="2:13" ht="16.5">
      <c r="B135" s="98"/>
      <c r="C135" s="100"/>
      <c r="D135" s="100"/>
      <c r="E135" s="101"/>
      <c r="F135" s="100"/>
      <c r="G135" s="98"/>
      <c r="H135" s="98"/>
      <c r="I135" s="98"/>
      <c r="J135" s="98"/>
      <c r="K135" s="98"/>
      <c r="L135" s="98"/>
      <c r="M135" s="98"/>
    </row>
    <row r="136" spans="2:13" ht="16.5">
      <c r="B136" s="98"/>
      <c r="C136" s="100"/>
      <c r="D136" s="100"/>
      <c r="E136" s="101"/>
      <c r="F136" s="100"/>
      <c r="G136" s="98"/>
      <c r="H136" s="98"/>
      <c r="I136" s="98"/>
      <c r="J136" s="98"/>
      <c r="K136" s="98"/>
      <c r="L136" s="98"/>
      <c r="M136" s="98"/>
    </row>
    <row r="137" spans="2:13" ht="16.5">
      <c r="B137" s="98"/>
      <c r="C137" s="100"/>
      <c r="D137" s="100"/>
      <c r="E137" s="101"/>
      <c r="F137" s="100"/>
      <c r="G137" s="98"/>
      <c r="H137" s="98"/>
      <c r="I137" s="98"/>
      <c r="J137" s="98"/>
      <c r="K137" s="98"/>
      <c r="L137" s="98"/>
      <c r="M137" s="98"/>
    </row>
    <row r="138" spans="2:13" ht="16.5">
      <c r="B138" s="98"/>
      <c r="C138" s="100"/>
      <c r="D138" s="100"/>
      <c r="E138" s="101"/>
      <c r="F138" s="100"/>
      <c r="G138" s="98"/>
      <c r="H138" s="98"/>
      <c r="I138" s="98"/>
      <c r="J138" s="98"/>
      <c r="K138" s="98"/>
      <c r="L138" s="98"/>
      <c r="M138" s="98"/>
    </row>
    <row r="139" spans="2:13" ht="16.5">
      <c r="B139" s="98"/>
      <c r="C139" s="100"/>
      <c r="D139" s="100"/>
      <c r="E139" s="101"/>
      <c r="F139" s="100"/>
      <c r="G139" s="98"/>
      <c r="H139" s="98"/>
      <c r="I139" s="98"/>
      <c r="J139" s="98"/>
      <c r="K139" s="98"/>
      <c r="L139" s="98"/>
      <c r="M139" s="98"/>
    </row>
    <row r="140" spans="2:13" ht="16.5">
      <c r="B140" s="98"/>
      <c r="C140" s="100"/>
      <c r="D140" s="100"/>
      <c r="E140" s="101"/>
      <c r="F140" s="100"/>
      <c r="G140" s="98"/>
      <c r="H140" s="98"/>
      <c r="I140" s="98"/>
      <c r="J140" s="98"/>
      <c r="K140" s="98"/>
      <c r="L140" s="98"/>
      <c r="M140" s="98"/>
    </row>
    <row r="141" spans="2:13" ht="16.5">
      <c r="B141" s="98"/>
      <c r="C141" s="100"/>
      <c r="D141" s="100"/>
      <c r="E141" s="101"/>
      <c r="F141" s="100"/>
      <c r="G141" s="98"/>
      <c r="H141" s="98"/>
      <c r="I141" s="98"/>
      <c r="J141" s="98"/>
      <c r="K141" s="98"/>
      <c r="L141" s="98"/>
      <c r="M141" s="98"/>
    </row>
    <row r="142" spans="2:13" ht="16.5">
      <c r="B142" s="98"/>
      <c r="C142" s="100"/>
      <c r="D142" s="100"/>
      <c r="E142" s="101"/>
      <c r="F142" s="100"/>
      <c r="G142" s="98"/>
      <c r="H142" s="98"/>
      <c r="I142" s="98"/>
      <c r="J142" s="98"/>
      <c r="K142" s="98"/>
      <c r="L142" s="98"/>
      <c r="M142" s="98"/>
    </row>
    <row r="143" spans="2:13" ht="16.5">
      <c r="B143" s="98"/>
      <c r="C143" s="100"/>
      <c r="D143" s="100"/>
      <c r="E143" s="101"/>
      <c r="F143" s="100"/>
      <c r="G143" s="98"/>
      <c r="H143" s="98"/>
      <c r="I143" s="98"/>
      <c r="J143" s="98"/>
      <c r="K143" s="98"/>
      <c r="L143" s="98"/>
      <c r="M143" s="98"/>
    </row>
    <row r="144" spans="2:13" ht="16.5">
      <c r="B144" s="98"/>
      <c r="C144" s="100"/>
      <c r="D144" s="100"/>
      <c r="E144" s="101"/>
      <c r="F144" s="100"/>
      <c r="G144" s="98"/>
      <c r="H144" s="98"/>
      <c r="I144" s="98"/>
      <c r="J144" s="98"/>
      <c r="K144" s="98"/>
      <c r="L144" s="98"/>
      <c r="M144" s="98"/>
    </row>
    <row r="145" spans="2:13" ht="16.5">
      <c r="B145" s="98"/>
      <c r="C145" s="100"/>
      <c r="D145" s="100"/>
      <c r="E145" s="101"/>
      <c r="F145" s="100"/>
      <c r="G145" s="98"/>
      <c r="H145" s="98"/>
      <c r="I145" s="98"/>
      <c r="J145" s="98"/>
      <c r="K145" s="98"/>
      <c r="L145" s="98"/>
      <c r="M145" s="98"/>
    </row>
    <row r="146" spans="2:13" ht="16.5">
      <c r="B146" s="98"/>
      <c r="C146" s="100"/>
      <c r="D146" s="100"/>
      <c r="E146" s="101"/>
      <c r="F146" s="100"/>
      <c r="G146" s="98"/>
      <c r="H146" s="98"/>
      <c r="I146" s="98"/>
      <c r="J146" s="98"/>
      <c r="K146" s="98"/>
      <c r="L146" s="98"/>
      <c r="M146" s="98"/>
    </row>
    <row r="147" spans="2:13" ht="16.5">
      <c r="B147" s="98"/>
      <c r="C147" s="100"/>
      <c r="D147" s="100"/>
      <c r="E147" s="101"/>
      <c r="F147" s="100"/>
      <c r="G147" s="98"/>
      <c r="H147" s="98"/>
      <c r="I147" s="98"/>
      <c r="J147" s="98"/>
      <c r="K147" s="98"/>
      <c r="L147" s="98"/>
      <c r="M147" s="98"/>
    </row>
    <row r="148" spans="2:13" ht="16.5">
      <c r="B148" s="98"/>
      <c r="C148" s="100"/>
      <c r="D148" s="100"/>
      <c r="E148" s="101"/>
      <c r="F148" s="100"/>
      <c r="G148" s="98"/>
      <c r="H148" s="98"/>
      <c r="I148" s="98"/>
      <c r="J148" s="98"/>
      <c r="K148" s="98"/>
      <c r="L148" s="98"/>
      <c r="M148" s="98"/>
    </row>
    <row r="149" spans="2:13" ht="16.5">
      <c r="B149" s="98"/>
      <c r="C149" s="100"/>
      <c r="D149" s="100"/>
      <c r="E149" s="101"/>
      <c r="F149" s="100"/>
      <c r="G149" s="98"/>
      <c r="H149" s="98"/>
      <c r="I149" s="98"/>
      <c r="J149" s="98"/>
      <c r="K149" s="98"/>
      <c r="L149" s="98"/>
      <c r="M149" s="98"/>
    </row>
    <row r="150" spans="2:13" ht="16.5">
      <c r="B150" s="98"/>
      <c r="C150" s="100"/>
      <c r="D150" s="100"/>
      <c r="E150" s="101"/>
      <c r="F150" s="100"/>
      <c r="G150" s="98"/>
      <c r="H150" s="98"/>
      <c r="I150" s="98"/>
      <c r="J150" s="98"/>
      <c r="K150" s="98"/>
      <c r="L150" s="98"/>
      <c r="M150" s="98"/>
    </row>
    <row r="151" spans="2:13" ht="16.5">
      <c r="B151" s="98"/>
      <c r="C151" s="100"/>
      <c r="D151" s="100"/>
      <c r="E151" s="101"/>
      <c r="F151" s="100"/>
      <c r="G151" s="98"/>
      <c r="H151" s="98"/>
      <c r="I151" s="98"/>
      <c r="J151" s="98"/>
      <c r="K151" s="98"/>
      <c r="L151" s="98"/>
      <c r="M151" s="98"/>
    </row>
    <row r="152" spans="2:13" ht="16.5">
      <c r="B152" s="98"/>
      <c r="C152" s="100"/>
      <c r="D152" s="100"/>
      <c r="E152" s="101"/>
      <c r="F152" s="100"/>
      <c r="G152" s="98"/>
      <c r="H152" s="98"/>
      <c r="I152" s="98"/>
      <c r="J152" s="98"/>
      <c r="K152" s="98"/>
      <c r="L152" s="98"/>
      <c r="M152" s="98"/>
    </row>
    <row r="153" spans="2:13" ht="16.5">
      <c r="B153" s="98"/>
      <c r="C153" s="100"/>
      <c r="D153" s="100"/>
      <c r="E153" s="101"/>
      <c r="F153" s="100"/>
      <c r="G153" s="98"/>
      <c r="H153" s="98"/>
      <c r="I153" s="98"/>
      <c r="J153" s="98"/>
      <c r="K153" s="98"/>
      <c r="L153" s="98"/>
      <c r="M153" s="98"/>
    </row>
    <row r="154" spans="2:13" ht="16.5">
      <c r="B154" s="98"/>
      <c r="C154" s="100"/>
      <c r="D154" s="100"/>
      <c r="E154" s="101"/>
      <c r="F154" s="100"/>
      <c r="G154" s="98"/>
      <c r="H154" s="98"/>
      <c r="I154" s="98"/>
      <c r="J154" s="98"/>
      <c r="K154" s="98"/>
      <c r="L154" s="98"/>
      <c r="M154" s="98"/>
    </row>
    <row r="155" spans="2:13" ht="16.5">
      <c r="B155" s="98"/>
      <c r="C155" s="100"/>
      <c r="D155" s="100"/>
      <c r="E155" s="101"/>
      <c r="F155" s="100"/>
      <c r="G155" s="98"/>
      <c r="H155" s="98"/>
      <c r="I155" s="98"/>
      <c r="J155" s="98"/>
      <c r="K155" s="98"/>
      <c r="L155" s="98"/>
      <c r="M155" s="98"/>
    </row>
    <row r="156" spans="2:13" ht="16.5">
      <c r="B156" s="98"/>
      <c r="C156" s="100"/>
      <c r="D156" s="100"/>
      <c r="E156" s="101"/>
      <c r="F156" s="100"/>
      <c r="G156" s="98"/>
      <c r="H156" s="98"/>
      <c r="I156" s="98"/>
      <c r="J156" s="98"/>
      <c r="K156" s="98"/>
      <c r="L156" s="98"/>
      <c r="M156" s="98"/>
    </row>
    <row r="157" spans="2:13" ht="16.5">
      <c r="B157" s="98"/>
      <c r="C157" s="100"/>
      <c r="D157" s="100"/>
      <c r="E157" s="101"/>
      <c r="F157" s="100"/>
      <c r="G157" s="98"/>
      <c r="H157" s="98"/>
      <c r="I157" s="98"/>
      <c r="J157" s="98"/>
      <c r="K157" s="98"/>
      <c r="L157" s="98"/>
      <c r="M157" s="98"/>
    </row>
    <row r="158" spans="2:13" ht="16.5">
      <c r="B158" s="98"/>
      <c r="C158" s="100"/>
      <c r="D158" s="100"/>
      <c r="E158" s="101"/>
      <c r="F158" s="100"/>
      <c r="G158" s="98"/>
      <c r="H158" s="98"/>
      <c r="I158" s="98"/>
      <c r="J158" s="98"/>
      <c r="K158" s="98"/>
      <c r="L158" s="98"/>
      <c r="M158" s="98"/>
    </row>
    <row r="159" spans="2:13" ht="16.5">
      <c r="B159" s="98"/>
      <c r="C159" s="100"/>
      <c r="D159" s="100"/>
      <c r="E159" s="101"/>
      <c r="F159" s="100"/>
      <c r="G159" s="98"/>
      <c r="H159" s="98"/>
      <c r="I159" s="98"/>
      <c r="J159" s="98"/>
      <c r="K159" s="98"/>
      <c r="L159" s="98"/>
      <c r="M159" s="98"/>
    </row>
    <row r="160" spans="2:13" ht="16.5">
      <c r="B160" s="98"/>
      <c r="C160" s="100"/>
      <c r="D160" s="100"/>
      <c r="E160" s="101"/>
      <c r="F160" s="100"/>
      <c r="G160" s="98"/>
      <c r="H160" s="98"/>
      <c r="I160" s="98"/>
      <c r="J160" s="98"/>
      <c r="K160" s="98"/>
      <c r="L160" s="98"/>
      <c r="M160" s="98"/>
    </row>
    <row r="161" spans="2:13" ht="16.5">
      <c r="B161" s="98"/>
      <c r="C161" s="100"/>
      <c r="D161" s="100"/>
      <c r="E161" s="101"/>
      <c r="F161" s="100"/>
      <c r="G161" s="98"/>
      <c r="H161" s="98"/>
      <c r="I161" s="98"/>
      <c r="J161" s="98"/>
      <c r="K161" s="98"/>
      <c r="L161" s="98"/>
      <c r="M161" s="98"/>
    </row>
    <row r="162" spans="2:13" ht="16.5">
      <c r="B162" s="98"/>
      <c r="C162" s="100"/>
      <c r="D162" s="100"/>
      <c r="E162" s="101"/>
      <c r="F162" s="100"/>
      <c r="G162" s="98"/>
      <c r="H162" s="98"/>
      <c r="I162" s="98"/>
      <c r="J162" s="98"/>
      <c r="K162" s="98"/>
      <c r="L162" s="98"/>
      <c r="M162" s="98"/>
    </row>
    <row r="163" spans="2:13" ht="16.5">
      <c r="B163" s="98"/>
      <c r="C163" s="100"/>
      <c r="D163" s="100"/>
      <c r="E163" s="101"/>
      <c r="F163" s="100"/>
      <c r="G163" s="98"/>
      <c r="H163" s="98"/>
      <c r="I163" s="98"/>
      <c r="J163" s="98"/>
      <c r="K163" s="98"/>
      <c r="L163" s="98"/>
      <c r="M163" s="98"/>
    </row>
    <row r="164" spans="2:13" ht="16.5">
      <c r="B164" s="98"/>
      <c r="C164" s="100"/>
      <c r="D164" s="100"/>
      <c r="E164" s="101"/>
      <c r="F164" s="100"/>
      <c r="G164" s="98"/>
      <c r="H164" s="98"/>
      <c r="I164" s="98"/>
      <c r="J164" s="98"/>
      <c r="K164" s="98"/>
      <c r="L164" s="98"/>
      <c r="M164" s="98"/>
    </row>
    <row r="165" spans="2:13" ht="16.5">
      <c r="B165" s="98"/>
      <c r="C165" s="100"/>
      <c r="D165" s="100"/>
      <c r="E165" s="101"/>
      <c r="F165" s="100"/>
      <c r="G165" s="98"/>
      <c r="H165" s="98"/>
      <c r="I165" s="98"/>
      <c r="J165" s="98"/>
      <c r="K165" s="98"/>
      <c r="L165" s="98"/>
      <c r="M165" s="98"/>
    </row>
  </sheetData>
  <conditionalFormatting sqref="C39:G39">
    <cfRule type="cellIs" dxfId="21" priority="9" stopIfTrue="1" operator="equal">
      <formula>"No"</formula>
    </cfRule>
  </conditionalFormatting>
  <conditionalFormatting sqref="H7">
    <cfRule type="containsText" dxfId="20" priority="5" operator="containsText" text="OK">
      <formula>NOT(ISERROR(SEARCH("OK",H7)))</formula>
    </cfRule>
    <cfRule type="containsText" dxfId="19" priority="6" operator="containsText" text="NG">
      <formula>NOT(ISERROR(SEARCH("NG",H7)))</formula>
    </cfRule>
  </conditionalFormatting>
  <conditionalFormatting sqref="J13:J15">
    <cfRule type="containsText" dxfId="18" priority="3" operator="containsText" text="OK">
      <formula>NOT(ISERROR(SEARCH("OK",J13)))</formula>
    </cfRule>
    <cfRule type="containsText" dxfId="17" priority="4" operator="containsText" text="NG">
      <formula>NOT(ISERROR(SEARCH("NG",J13)))</formula>
    </cfRule>
  </conditionalFormatting>
  <conditionalFormatting sqref="J40:J77">
    <cfRule type="containsText" dxfId="16" priority="7" operator="containsText" text="OK">
      <formula>NOT(ISERROR(SEARCH("OK",J40)))</formula>
    </cfRule>
    <cfRule type="containsText" dxfId="15" priority="8" operator="containsText" text="NG">
      <formula>NOT(ISERROR(SEARCH("NG",J40)))</formula>
    </cfRule>
  </conditionalFormatting>
  <conditionalFormatting sqref="J83:J85">
    <cfRule type="containsText" dxfId="14" priority="1" operator="containsText" text="OK">
      <formula>NOT(ISERROR(SEARCH("OK",J83)))</formula>
    </cfRule>
    <cfRule type="containsText" dxfId="13" priority="2" operator="containsText" text="NG">
      <formula>NOT(ISERROR(SEARCH("NG",J83)))</formula>
    </cfRule>
  </conditionalFormatting>
  <pageMargins left="0.36458333333333298" right="0.31862745098039202" top="0.73958333333333304" bottom="0.75" header="0.3" footer="0.3"/>
  <pageSetup paperSize="12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890A4E-96FE-41E2-A359-A74A58ADEC2A}">
  <dimension ref="B2:M136"/>
  <sheetViews>
    <sheetView topLeftCell="A6" zoomScaleNormal="100" zoomScalePageLayoutView="115" workbookViewId="0">
      <selection activeCell="I17" sqref="I17"/>
    </sheetView>
  </sheetViews>
  <sheetFormatPr defaultColWidth="8.75" defaultRowHeight="15.75"/>
  <cols>
    <col min="1" max="1" width="3.25" style="13" customWidth="1"/>
    <col min="2" max="2" width="14.5" style="13" customWidth="1"/>
    <col min="3" max="3" width="21" style="13" customWidth="1"/>
    <col min="4" max="4" width="9.375" style="13" customWidth="1"/>
    <col min="5" max="5" width="11.125" style="13" customWidth="1"/>
    <col min="6" max="6" width="11" style="13" customWidth="1"/>
    <col min="7" max="7" width="9.875" style="13" customWidth="1"/>
    <col min="8" max="8" width="9" style="13" customWidth="1"/>
    <col min="9" max="9" width="30" style="13" customWidth="1"/>
    <col min="10" max="10" width="11.25" style="13" customWidth="1"/>
    <col min="11" max="16384" width="8.75" style="13"/>
  </cols>
  <sheetData>
    <row r="2" spans="2:13" s="20" customFormat="1" ht="30">
      <c r="B2" s="19" t="s">
        <v>115</v>
      </c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</row>
    <row r="4" spans="2:13" s="11" customFormat="1" ht="15" customHeight="1">
      <c r="B4" s="79" t="s">
        <v>7</v>
      </c>
      <c r="C4" s="14"/>
      <c r="D4" s="14"/>
      <c r="E4" s="14"/>
      <c r="F4" s="14"/>
      <c r="G4" s="15"/>
    </row>
    <row r="5" spans="2:13" s="11" customFormat="1" ht="15" customHeight="1">
      <c r="B5" s="97" t="s">
        <v>117</v>
      </c>
      <c r="G5" s="16"/>
    </row>
    <row r="6" spans="2:13" s="11" customFormat="1" ht="15" customHeight="1">
      <c r="B6" s="96" t="s">
        <v>237</v>
      </c>
      <c r="C6" s="17"/>
      <c r="D6" s="17"/>
      <c r="E6" s="17"/>
      <c r="F6" s="17"/>
      <c r="G6" s="18"/>
    </row>
    <row r="7" spans="2:13" s="11" customFormat="1" ht="15" customHeight="1">
      <c r="B7" s="178"/>
      <c r="C7" s="179"/>
      <c r="D7" s="179"/>
      <c r="E7" s="179"/>
      <c r="F7" s="179"/>
      <c r="G7" s="179"/>
    </row>
    <row r="8" spans="2:13" ht="24">
      <c r="B8" s="177" t="s">
        <v>238</v>
      </c>
      <c r="K8" s="98"/>
      <c r="L8" s="98"/>
    </row>
    <row r="9" spans="2:13" s="11" customFormat="1" ht="15" customHeight="1">
      <c r="B9" s="75"/>
    </row>
    <row r="10" spans="2:13">
      <c r="H10" s="128" t="s">
        <v>191</v>
      </c>
      <c r="I10" s="234" t="s">
        <v>192</v>
      </c>
    </row>
    <row r="11" spans="2:13" ht="19.5">
      <c r="B11" s="99" t="s">
        <v>204</v>
      </c>
      <c r="C11" s="100"/>
      <c r="D11" s="101"/>
      <c r="E11" s="100"/>
      <c r="F11" s="98"/>
      <c r="G11" s="98"/>
      <c r="H11" s="235" t="s">
        <v>149</v>
      </c>
      <c r="I11" s="234" t="s">
        <v>193</v>
      </c>
    </row>
    <row r="12" spans="2:13" ht="16.5">
      <c r="B12" s="152"/>
      <c r="C12" s="100"/>
      <c r="D12" s="101"/>
      <c r="E12" s="100"/>
      <c r="F12" s="98"/>
      <c r="G12" s="98"/>
      <c r="H12" s="174" t="s">
        <v>144</v>
      </c>
      <c r="I12" s="234" t="s">
        <v>194</v>
      </c>
    </row>
    <row r="13" spans="2:13" ht="16.5">
      <c r="B13" s="152"/>
      <c r="C13" s="153"/>
      <c r="D13" s="154" t="s">
        <v>58</v>
      </c>
      <c r="E13" s="154" t="s">
        <v>91</v>
      </c>
      <c r="F13" s="154" t="s">
        <v>120</v>
      </c>
      <c r="G13" s="98"/>
      <c r="H13" s="151"/>
    </row>
    <row r="14" spans="2:13" ht="16.5">
      <c r="B14" s="152"/>
      <c r="C14" s="64"/>
      <c r="D14" s="64"/>
      <c r="E14" s="64"/>
      <c r="F14" s="64"/>
      <c r="G14" s="98"/>
      <c r="H14" s="151"/>
    </row>
    <row r="15" spans="2:13" ht="16.5">
      <c r="B15" s="152"/>
      <c r="C15" s="155" t="s">
        <v>205</v>
      </c>
      <c r="D15" s="156">
        <v>20</v>
      </c>
      <c r="E15" s="156">
        <v>18</v>
      </c>
      <c r="F15" s="156">
        <v>90</v>
      </c>
      <c r="G15" s="98"/>
      <c r="H15" s="151"/>
    </row>
    <row r="16" spans="2:13" ht="16.5">
      <c r="B16" s="152"/>
      <c r="C16" s="155" t="s">
        <v>206</v>
      </c>
      <c r="D16" s="156">
        <v>20</v>
      </c>
      <c r="E16" s="156">
        <v>18</v>
      </c>
      <c r="F16" s="156">
        <v>90</v>
      </c>
      <c r="G16" s="98"/>
      <c r="H16" s="151"/>
    </row>
    <row r="17" spans="2:9" ht="16.5">
      <c r="B17" s="152"/>
      <c r="C17" s="157" t="s">
        <v>207</v>
      </c>
      <c r="D17" s="158">
        <v>0</v>
      </c>
      <c r="E17" s="158">
        <v>0</v>
      </c>
      <c r="F17" s="158"/>
      <c r="G17" s="98"/>
      <c r="H17" s="151"/>
    </row>
    <row r="18" spans="2:9" ht="16.5">
      <c r="B18" s="152"/>
      <c r="C18" s="157" t="s">
        <v>208</v>
      </c>
      <c r="D18" s="158">
        <v>0</v>
      </c>
      <c r="E18" s="158">
        <v>0</v>
      </c>
      <c r="F18" s="158"/>
      <c r="G18" s="98"/>
      <c r="H18" s="151"/>
    </row>
    <row r="19" spans="2:9" ht="16.5">
      <c r="B19" s="152"/>
      <c r="C19" s="100"/>
      <c r="D19" s="101"/>
      <c r="E19" s="100"/>
      <c r="F19" s="98"/>
      <c r="G19" s="98"/>
      <c r="H19" s="151"/>
    </row>
    <row r="20" spans="2:9" ht="16.5">
      <c r="B20" s="152"/>
      <c r="C20" s="100"/>
      <c r="D20" s="101"/>
      <c r="E20" s="100"/>
      <c r="F20" s="98"/>
      <c r="G20" s="98"/>
      <c r="H20" s="151"/>
    </row>
    <row r="21" spans="2:9" ht="16.5">
      <c r="C21" s="152" t="s">
        <v>209</v>
      </c>
      <c r="D21" s="100"/>
      <c r="E21" s="101"/>
      <c r="F21" s="100"/>
      <c r="G21" s="98"/>
      <c r="H21" s="98"/>
      <c r="I21" s="151"/>
    </row>
    <row r="22" spans="2:9" ht="16.5">
      <c r="C22" s="152" t="s">
        <v>210</v>
      </c>
      <c r="D22" s="100"/>
      <c r="E22" s="101"/>
      <c r="F22" s="100"/>
      <c r="G22" s="98"/>
      <c r="H22" s="98"/>
      <c r="I22" s="151"/>
    </row>
    <row r="23" spans="2:9" ht="16.5">
      <c r="C23" s="152" t="s">
        <v>211</v>
      </c>
      <c r="D23" s="100"/>
      <c r="E23" s="101"/>
      <c r="F23" s="100"/>
      <c r="G23" s="98"/>
      <c r="H23" s="98"/>
      <c r="I23" s="151"/>
    </row>
    <row r="24" spans="2:9" ht="16.5">
      <c r="C24" s="152"/>
      <c r="D24" s="100"/>
      <c r="E24" s="101"/>
      <c r="F24" s="100"/>
      <c r="G24" s="98"/>
      <c r="H24" s="98"/>
      <c r="I24" s="151"/>
    </row>
    <row r="25" spans="2:9" ht="16.5">
      <c r="C25" s="152" t="s">
        <v>212</v>
      </c>
      <c r="D25" s="100" t="s">
        <v>213</v>
      </c>
      <c r="E25" s="101" t="s">
        <v>214</v>
      </c>
      <c r="F25" s="100" t="s">
        <v>215</v>
      </c>
      <c r="G25" s="131" t="s">
        <v>140</v>
      </c>
      <c r="H25" s="98"/>
      <c r="I25" s="151"/>
    </row>
    <row r="26" spans="2:9" ht="16.5">
      <c r="C26" s="159">
        <v>0</v>
      </c>
      <c r="D26" s="160">
        <v>1</v>
      </c>
      <c r="E26" s="161">
        <v>1</v>
      </c>
      <c r="F26" s="160" t="s">
        <v>216</v>
      </c>
      <c r="G26" s="128" t="s">
        <v>144</v>
      </c>
      <c r="H26" s="98" t="s">
        <v>217</v>
      </c>
      <c r="I26" s="151"/>
    </row>
    <row r="27" spans="2:9" ht="16.5">
      <c r="C27" s="162">
        <v>1</v>
      </c>
      <c r="D27" s="163">
        <v>0</v>
      </c>
      <c r="E27" s="164">
        <v>1</v>
      </c>
      <c r="F27" s="163" t="s">
        <v>91</v>
      </c>
      <c r="G27" s="128" t="s">
        <v>144</v>
      </c>
      <c r="H27" s="98"/>
      <c r="I27" s="151"/>
    </row>
    <row r="28" spans="2:9" ht="16.5">
      <c r="C28" s="162">
        <v>1</v>
      </c>
      <c r="D28" s="163">
        <v>1</v>
      </c>
      <c r="E28" s="164">
        <v>0</v>
      </c>
      <c r="F28" s="163" t="s">
        <v>91</v>
      </c>
      <c r="G28" s="128" t="s">
        <v>144</v>
      </c>
      <c r="H28" s="98"/>
      <c r="I28" s="151"/>
    </row>
    <row r="29" spans="2:9" ht="16.5">
      <c r="C29" s="162">
        <v>1</v>
      </c>
      <c r="D29" s="163">
        <v>1</v>
      </c>
      <c r="E29" s="164">
        <v>1</v>
      </c>
      <c r="F29" s="163" t="s">
        <v>91</v>
      </c>
      <c r="G29" s="128" t="s">
        <v>144</v>
      </c>
      <c r="H29" s="98"/>
      <c r="I29" s="151"/>
    </row>
    <row r="30" spans="2:9" ht="16.5">
      <c r="C30" s="152"/>
      <c r="D30" s="100"/>
      <c r="E30" s="101"/>
      <c r="F30" s="100"/>
      <c r="G30" s="98"/>
      <c r="H30" s="98"/>
      <c r="I30" s="151"/>
    </row>
    <row r="31" spans="2:9" ht="16.5">
      <c r="C31" s="152" t="s">
        <v>218</v>
      </c>
      <c r="D31" s="100"/>
      <c r="E31" s="101"/>
      <c r="F31" s="100"/>
      <c r="G31" s="98"/>
      <c r="H31" s="98"/>
      <c r="I31" s="151"/>
    </row>
    <row r="32" spans="2:9" ht="16.5">
      <c r="C32" s="152" t="s">
        <v>219</v>
      </c>
      <c r="D32" s="100"/>
      <c r="E32" s="101"/>
      <c r="F32" s="100"/>
      <c r="G32" s="98"/>
      <c r="H32" s="98"/>
      <c r="I32" s="151"/>
    </row>
    <row r="33" spans="3:9" ht="16.5">
      <c r="C33" s="152" t="s">
        <v>220</v>
      </c>
      <c r="D33" s="100"/>
      <c r="E33" s="101"/>
      <c r="F33" s="100"/>
      <c r="G33" s="98"/>
      <c r="H33" s="98"/>
      <c r="I33" s="151"/>
    </row>
    <row r="34" spans="3:9" ht="16.5">
      <c r="C34" s="152"/>
      <c r="D34" s="100"/>
      <c r="E34" s="101"/>
      <c r="F34" s="100"/>
      <c r="G34" s="98"/>
      <c r="H34" s="98"/>
      <c r="I34" s="151"/>
    </row>
    <row r="35" spans="3:9" ht="16.5">
      <c r="C35" s="152" t="s">
        <v>212</v>
      </c>
      <c r="D35" s="100" t="s">
        <v>213</v>
      </c>
      <c r="E35" s="101" t="s">
        <v>214</v>
      </c>
      <c r="F35" s="100" t="s">
        <v>215</v>
      </c>
      <c r="G35" s="131" t="s">
        <v>140</v>
      </c>
      <c r="H35" s="98"/>
      <c r="I35" s="151"/>
    </row>
    <row r="36" spans="3:9" ht="16.5">
      <c r="C36" s="159">
        <v>0</v>
      </c>
      <c r="D36" s="160">
        <v>1</v>
      </c>
      <c r="E36" s="161">
        <v>1</v>
      </c>
      <c r="F36" s="160" t="s">
        <v>216</v>
      </c>
      <c r="G36" s="128" t="s">
        <v>144</v>
      </c>
      <c r="H36" s="98" t="s">
        <v>217</v>
      </c>
      <c r="I36" s="151"/>
    </row>
    <row r="37" spans="3:9" ht="16.5">
      <c r="C37" s="162">
        <v>1</v>
      </c>
      <c r="D37" s="163">
        <v>0</v>
      </c>
      <c r="E37" s="164">
        <v>1</v>
      </c>
      <c r="F37" s="163" t="s">
        <v>91</v>
      </c>
      <c r="G37" s="128" t="s">
        <v>144</v>
      </c>
      <c r="H37" s="98"/>
      <c r="I37" s="151"/>
    </row>
    <row r="38" spans="3:9" ht="16.5">
      <c r="C38" s="162">
        <v>1</v>
      </c>
      <c r="D38" s="163">
        <v>1</v>
      </c>
      <c r="E38" s="164">
        <v>0</v>
      </c>
      <c r="F38" s="163" t="s">
        <v>91</v>
      </c>
      <c r="G38" s="128" t="s">
        <v>144</v>
      </c>
      <c r="H38" s="98"/>
      <c r="I38" s="151"/>
    </row>
    <row r="39" spans="3:9" ht="16.5">
      <c r="C39" s="162">
        <v>1</v>
      </c>
      <c r="D39" s="163">
        <v>1</v>
      </c>
      <c r="E39" s="164">
        <v>1</v>
      </c>
      <c r="F39" s="163" t="s">
        <v>91</v>
      </c>
      <c r="G39" s="128" t="s">
        <v>144</v>
      </c>
      <c r="H39" s="98"/>
      <c r="I39" s="151"/>
    </row>
    <row r="40" spans="3:9" ht="16.5">
      <c r="C40" s="152"/>
      <c r="D40" s="100"/>
      <c r="E40" s="101"/>
      <c r="F40" s="100"/>
      <c r="G40" s="98"/>
      <c r="H40" s="98"/>
      <c r="I40" s="151"/>
    </row>
    <row r="41" spans="3:9" ht="16.5">
      <c r="C41" s="152" t="s">
        <v>221</v>
      </c>
      <c r="D41" s="100"/>
      <c r="E41" s="101"/>
      <c r="F41" s="100"/>
      <c r="G41" s="98"/>
      <c r="H41" s="98"/>
      <c r="I41" s="151"/>
    </row>
    <row r="42" spans="3:9" ht="16.5">
      <c r="C42" s="152" t="s">
        <v>222</v>
      </c>
      <c r="D42" s="100"/>
      <c r="E42" s="101"/>
      <c r="F42" s="100"/>
      <c r="G42" s="98"/>
      <c r="H42" s="98"/>
      <c r="I42" s="151"/>
    </row>
    <row r="43" spans="3:9" ht="16.5">
      <c r="C43" s="152" t="s">
        <v>223</v>
      </c>
      <c r="D43" s="100"/>
      <c r="E43" s="101"/>
      <c r="F43" s="100"/>
      <c r="G43" s="98"/>
      <c r="H43" s="98"/>
      <c r="I43" s="151"/>
    </row>
    <row r="44" spans="3:9" ht="16.5">
      <c r="C44" s="152"/>
      <c r="D44" s="100"/>
      <c r="E44" s="101"/>
      <c r="F44" s="100"/>
      <c r="G44" s="98"/>
      <c r="H44" s="98"/>
      <c r="I44" s="151"/>
    </row>
    <row r="45" spans="3:9" ht="16.5">
      <c r="C45" s="152" t="s">
        <v>212</v>
      </c>
      <c r="D45" s="100" t="s">
        <v>213</v>
      </c>
      <c r="E45" s="101" t="s">
        <v>215</v>
      </c>
      <c r="F45" s="100"/>
      <c r="G45" s="131" t="s">
        <v>140</v>
      </c>
      <c r="H45" s="98"/>
      <c r="I45" s="151"/>
    </row>
    <row r="46" spans="3:9" ht="16.5">
      <c r="C46" s="159">
        <v>0</v>
      </c>
      <c r="D46" s="160">
        <v>1</v>
      </c>
      <c r="E46" s="161" t="s">
        <v>216</v>
      </c>
      <c r="F46" s="100"/>
      <c r="G46" s="128" t="s">
        <v>144</v>
      </c>
      <c r="H46" s="98" t="s">
        <v>217</v>
      </c>
      <c r="I46" s="151"/>
    </row>
    <row r="47" spans="3:9" ht="16.5">
      <c r="C47" s="162">
        <v>1</v>
      </c>
      <c r="D47" s="163">
        <v>0</v>
      </c>
      <c r="E47" s="164" t="s">
        <v>91</v>
      </c>
      <c r="F47" s="100"/>
      <c r="G47" s="128" t="s">
        <v>144</v>
      </c>
      <c r="H47" s="98"/>
      <c r="I47" s="151"/>
    </row>
    <row r="48" spans="3:9" ht="16.5">
      <c r="C48" s="162">
        <v>1</v>
      </c>
      <c r="D48" s="163">
        <v>1</v>
      </c>
      <c r="E48" s="164" t="s">
        <v>91</v>
      </c>
      <c r="F48" s="100"/>
      <c r="G48" s="128" t="s">
        <v>144</v>
      </c>
      <c r="H48" s="98"/>
      <c r="I48" s="151"/>
    </row>
    <row r="49" spans="2:10" ht="16.5">
      <c r="C49" s="152"/>
      <c r="D49" s="100"/>
      <c r="E49" s="101"/>
      <c r="F49" s="100"/>
      <c r="G49" s="98"/>
      <c r="H49" s="98"/>
      <c r="I49" s="151"/>
    </row>
    <row r="50" spans="2:10" ht="16.5">
      <c r="C50" s="152" t="s">
        <v>224</v>
      </c>
      <c r="D50" s="100"/>
      <c r="E50" s="101"/>
      <c r="F50" s="100"/>
      <c r="G50" s="98"/>
      <c r="H50" s="98"/>
      <c r="I50" s="151"/>
    </row>
    <row r="51" spans="2:10" ht="16.5">
      <c r="C51" s="152" t="s">
        <v>225</v>
      </c>
      <c r="D51" s="100"/>
      <c r="E51" s="101"/>
      <c r="F51" s="100"/>
      <c r="G51" s="98"/>
      <c r="H51" s="98"/>
      <c r="I51" s="151"/>
    </row>
    <row r="52" spans="2:10" ht="16.5">
      <c r="C52" s="152" t="s">
        <v>226</v>
      </c>
      <c r="D52" s="100"/>
      <c r="E52" s="101"/>
      <c r="F52" s="100"/>
      <c r="G52" s="98"/>
      <c r="H52" s="98"/>
      <c r="I52" s="151"/>
    </row>
    <row r="53" spans="2:10" ht="16.5">
      <c r="C53" s="152"/>
      <c r="D53" s="100"/>
      <c r="E53" s="101"/>
      <c r="F53" s="100"/>
      <c r="G53" s="98"/>
      <c r="H53" s="98"/>
      <c r="I53" s="151"/>
    </row>
    <row r="54" spans="2:10" ht="16.5">
      <c r="C54" s="152" t="s">
        <v>212</v>
      </c>
      <c r="D54" s="100" t="s">
        <v>213</v>
      </c>
      <c r="E54" s="101" t="s">
        <v>215</v>
      </c>
      <c r="F54" s="100"/>
      <c r="G54" s="131" t="s">
        <v>140</v>
      </c>
      <c r="H54" s="98"/>
      <c r="I54" s="151"/>
    </row>
    <row r="55" spans="2:10" ht="16.5">
      <c r="C55" s="162">
        <v>0</v>
      </c>
      <c r="D55" s="163">
        <v>1</v>
      </c>
      <c r="E55" s="164" t="s">
        <v>91</v>
      </c>
      <c r="F55" s="100"/>
      <c r="G55" s="128" t="s">
        <v>144</v>
      </c>
      <c r="H55" s="98"/>
      <c r="I55" s="151"/>
    </row>
    <row r="56" spans="2:10" ht="16.5">
      <c r="C56" s="159">
        <v>1</v>
      </c>
      <c r="D56" s="160">
        <v>0</v>
      </c>
      <c r="E56" s="161" t="s">
        <v>216</v>
      </c>
      <c r="F56" s="100"/>
      <c r="G56" s="128" t="s">
        <v>144</v>
      </c>
      <c r="H56" s="98" t="s">
        <v>227</v>
      </c>
      <c r="I56" s="151"/>
    </row>
    <row r="57" spans="2:10" ht="16.5">
      <c r="C57" s="162">
        <v>1</v>
      </c>
      <c r="D57" s="163">
        <v>1</v>
      </c>
      <c r="E57" s="164" t="s">
        <v>91</v>
      </c>
      <c r="F57" s="100"/>
      <c r="G57" s="128" t="s">
        <v>144</v>
      </c>
      <c r="H57" s="98"/>
      <c r="I57" s="151"/>
    </row>
    <row r="61" spans="2:10" ht="19.5">
      <c r="B61" s="99" t="s">
        <v>200</v>
      </c>
      <c r="C61" s="100"/>
      <c r="D61" s="101"/>
      <c r="E61" s="100"/>
      <c r="F61" s="98"/>
      <c r="G61" s="98"/>
      <c r="H61" s="98"/>
      <c r="I61" s="122"/>
    </row>
    <row r="62" spans="2:10" ht="16.5">
      <c r="B62" s="100"/>
      <c r="C62" s="100"/>
      <c r="D62" s="101"/>
      <c r="E62" s="100"/>
      <c r="F62" s="98"/>
      <c r="G62" s="98"/>
      <c r="H62" s="98"/>
      <c r="I62" s="122"/>
    </row>
    <row r="63" spans="2:10" ht="16.5">
      <c r="C63" s="129"/>
      <c r="D63" s="130" t="s">
        <v>197</v>
      </c>
      <c r="E63" s="130" t="s">
        <v>58</v>
      </c>
      <c r="F63" s="130" t="s">
        <v>91</v>
      </c>
      <c r="G63" s="130" t="s">
        <v>120</v>
      </c>
      <c r="H63" s="124" t="s">
        <v>138</v>
      </c>
      <c r="I63" s="124" t="s">
        <v>139</v>
      </c>
      <c r="J63" s="131" t="s">
        <v>140</v>
      </c>
    </row>
    <row r="64" spans="2:10" ht="16.5">
      <c r="C64" s="132" t="s">
        <v>198</v>
      </c>
      <c r="D64" s="133"/>
      <c r="E64" s="133">
        <v>92</v>
      </c>
      <c r="F64" s="133">
        <v>92</v>
      </c>
      <c r="G64" s="133">
        <v>100</v>
      </c>
      <c r="H64" s="127"/>
      <c r="I64" s="127"/>
      <c r="J64" s="128" t="s">
        <v>144</v>
      </c>
    </row>
    <row r="65" spans="3:10" ht="16.5">
      <c r="C65" s="132" t="s">
        <v>199</v>
      </c>
      <c r="D65" s="133">
        <v>82</v>
      </c>
      <c r="E65" s="133">
        <v>3</v>
      </c>
      <c r="F65" s="133">
        <v>3</v>
      </c>
      <c r="G65" s="133">
        <v>100</v>
      </c>
      <c r="H65" s="127"/>
      <c r="I65" s="127"/>
      <c r="J65" s="128" t="s">
        <v>144</v>
      </c>
    </row>
    <row r="66" spans="3:10" ht="16.5">
      <c r="C66" s="132" t="s">
        <v>199</v>
      </c>
      <c r="D66" s="133">
        <v>96</v>
      </c>
      <c r="E66" s="133">
        <v>22</v>
      </c>
      <c r="F66" s="133">
        <v>22</v>
      </c>
      <c r="G66" s="133">
        <v>100</v>
      </c>
      <c r="H66" s="127"/>
      <c r="I66" s="127"/>
      <c r="J66" s="128" t="s">
        <v>144</v>
      </c>
    </row>
    <row r="67" spans="3:10" ht="16.5">
      <c r="C67" s="132" t="s">
        <v>199</v>
      </c>
      <c r="D67" s="133">
        <v>175</v>
      </c>
      <c r="E67" s="133">
        <v>6</v>
      </c>
      <c r="F67" s="133">
        <v>6</v>
      </c>
      <c r="G67" s="133">
        <v>100</v>
      </c>
      <c r="H67" s="127"/>
      <c r="I67" s="127"/>
      <c r="J67" s="128" t="s">
        <v>144</v>
      </c>
    </row>
    <row r="68" spans="3:10" ht="16.5">
      <c r="C68" s="132" t="s">
        <v>199</v>
      </c>
      <c r="D68" s="133">
        <v>191</v>
      </c>
      <c r="E68" s="133">
        <v>3</v>
      </c>
      <c r="F68" s="133">
        <v>3</v>
      </c>
      <c r="G68" s="133">
        <v>100</v>
      </c>
      <c r="H68" s="127"/>
      <c r="I68" s="127"/>
      <c r="J68" s="128" t="s">
        <v>144</v>
      </c>
    </row>
    <row r="69" spans="3:10" ht="16.5">
      <c r="C69" s="132" t="s">
        <v>199</v>
      </c>
      <c r="D69" s="133">
        <v>203</v>
      </c>
      <c r="E69" s="133">
        <v>6</v>
      </c>
      <c r="F69" s="133">
        <v>6</v>
      </c>
      <c r="G69" s="133">
        <v>100</v>
      </c>
      <c r="H69" s="127"/>
      <c r="I69" s="127"/>
      <c r="J69" s="128" t="s">
        <v>144</v>
      </c>
    </row>
    <row r="70" spans="3:10" ht="16.5">
      <c r="C70" s="132" t="s">
        <v>199</v>
      </c>
      <c r="D70" s="133">
        <v>219</v>
      </c>
      <c r="E70" s="133">
        <v>4</v>
      </c>
      <c r="F70" s="133">
        <v>4</v>
      </c>
      <c r="G70" s="133">
        <v>100</v>
      </c>
      <c r="H70" s="127"/>
      <c r="I70" s="127"/>
      <c r="J70" s="128" t="s">
        <v>144</v>
      </c>
    </row>
    <row r="71" spans="3:10" ht="16.5">
      <c r="C71" s="132" t="s">
        <v>199</v>
      </c>
      <c r="D71" s="133">
        <v>231</v>
      </c>
      <c r="E71" s="133">
        <v>4</v>
      </c>
      <c r="F71" s="133">
        <v>4</v>
      </c>
      <c r="G71" s="133">
        <v>100</v>
      </c>
      <c r="H71" s="127"/>
      <c r="I71" s="127"/>
      <c r="J71" s="128" t="s">
        <v>144</v>
      </c>
    </row>
    <row r="72" spans="3:10" ht="16.5">
      <c r="C72" s="132" t="s">
        <v>199</v>
      </c>
      <c r="D72" s="133">
        <v>246</v>
      </c>
      <c r="E72" s="133">
        <v>5</v>
      </c>
      <c r="F72" s="133">
        <v>5</v>
      </c>
      <c r="G72" s="133">
        <v>100</v>
      </c>
      <c r="H72" s="127"/>
      <c r="I72" s="127"/>
      <c r="J72" s="128" t="s">
        <v>144</v>
      </c>
    </row>
    <row r="73" spans="3:10" ht="16.5">
      <c r="C73" s="132" t="s">
        <v>199</v>
      </c>
      <c r="D73" s="133">
        <v>261</v>
      </c>
      <c r="E73" s="133">
        <v>6</v>
      </c>
      <c r="F73" s="133">
        <v>6</v>
      </c>
      <c r="G73" s="133">
        <v>100</v>
      </c>
      <c r="H73" s="127"/>
      <c r="I73" s="127"/>
      <c r="J73" s="128" t="s">
        <v>144</v>
      </c>
    </row>
    <row r="74" spans="3:10" ht="16.5">
      <c r="C74" s="132" t="s">
        <v>199</v>
      </c>
      <c r="D74" s="133">
        <v>276</v>
      </c>
      <c r="E74" s="133">
        <v>4</v>
      </c>
      <c r="F74" s="133">
        <v>4</v>
      </c>
      <c r="G74" s="133">
        <v>100</v>
      </c>
      <c r="H74" s="127"/>
      <c r="I74" s="127"/>
      <c r="J74" s="128" t="s">
        <v>144</v>
      </c>
    </row>
    <row r="75" spans="3:10" ht="16.5">
      <c r="C75" s="132" t="s">
        <v>199</v>
      </c>
      <c r="D75" s="133">
        <v>289</v>
      </c>
      <c r="E75" s="133">
        <v>3</v>
      </c>
      <c r="F75" s="133">
        <v>3</v>
      </c>
      <c r="G75" s="133">
        <v>100</v>
      </c>
      <c r="H75" s="127"/>
      <c r="I75" s="127"/>
      <c r="J75" s="128" t="s">
        <v>144</v>
      </c>
    </row>
    <row r="76" spans="3:10" ht="16.5">
      <c r="C76" s="132" t="s">
        <v>199</v>
      </c>
      <c r="D76" s="133">
        <v>300</v>
      </c>
      <c r="E76" s="133">
        <v>3</v>
      </c>
      <c r="F76" s="133">
        <v>3</v>
      </c>
      <c r="G76" s="133">
        <v>100</v>
      </c>
      <c r="H76" s="127"/>
      <c r="I76" s="127"/>
      <c r="J76" s="128" t="s">
        <v>144</v>
      </c>
    </row>
    <row r="77" spans="3:10" ht="16.5">
      <c r="C77" s="132" t="s">
        <v>199</v>
      </c>
      <c r="D77" s="133">
        <v>315</v>
      </c>
      <c r="E77" s="133">
        <v>3</v>
      </c>
      <c r="F77" s="133">
        <v>3</v>
      </c>
      <c r="G77" s="133">
        <v>100</v>
      </c>
      <c r="H77" s="127"/>
      <c r="I77" s="127"/>
      <c r="J77" s="128" t="s">
        <v>144</v>
      </c>
    </row>
    <row r="78" spans="3:10" ht="16.5">
      <c r="C78" s="132" t="s">
        <v>199</v>
      </c>
      <c r="D78" s="133">
        <v>336</v>
      </c>
      <c r="E78" s="133">
        <v>3</v>
      </c>
      <c r="F78" s="133">
        <v>3</v>
      </c>
      <c r="G78" s="133">
        <v>100</v>
      </c>
      <c r="H78" s="127"/>
      <c r="I78" s="127"/>
      <c r="J78" s="128" t="s">
        <v>144</v>
      </c>
    </row>
    <row r="79" spans="3:10" ht="16.5">
      <c r="C79" s="132" t="s">
        <v>199</v>
      </c>
      <c r="D79" s="133">
        <v>344</v>
      </c>
      <c r="E79" s="133">
        <v>8</v>
      </c>
      <c r="F79" s="133">
        <v>8</v>
      </c>
      <c r="G79" s="133">
        <v>100</v>
      </c>
      <c r="H79" s="127"/>
      <c r="I79" s="127"/>
      <c r="J79" s="128" t="s">
        <v>144</v>
      </c>
    </row>
    <row r="80" spans="3:10" ht="16.5">
      <c r="C80" s="132" t="s">
        <v>199</v>
      </c>
      <c r="D80" s="133">
        <v>361</v>
      </c>
      <c r="E80" s="133">
        <v>9</v>
      </c>
      <c r="F80" s="133">
        <v>9</v>
      </c>
      <c r="G80" s="133">
        <v>100</v>
      </c>
      <c r="H80" s="127"/>
      <c r="I80" s="127"/>
      <c r="J80" s="128" t="s">
        <v>144</v>
      </c>
    </row>
    <row r="83" spans="2:9" ht="19.5">
      <c r="B83" s="99" t="s">
        <v>119</v>
      </c>
      <c r="C83" s="100"/>
      <c r="D83" s="101"/>
      <c r="E83" s="100"/>
      <c r="F83" s="98"/>
      <c r="G83" s="98"/>
      <c r="H83" s="102"/>
      <c r="I83" s="102"/>
    </row>
    <row r="84" spans="2:9" ht="16.5">
      <c r="B84" s="100"/>
      <c r="C84" s="102"/>
      <c r="D84" s="103" t="s">
        <v>58</v>
      </c>
      <c r="E84" s="103" t="s">
        <v>91</v>
      </c>
      <c r="F84" s="103" t="s">
        <v>120</v>
      </c>
      <c r="G84" s="98"/>
      <c r="H84" s="102"/>
      <c r="I84" s="102"/>
    </row>
    <row r="85" spans="2:9" ht="16.5">
      <c r="B85" s="100"/>
      <c r="C85" s="165" t="s">
        <v>121</v>
      </c>
      <c r="D85" s="166">
        <v>47</v>
      </c>
      <c r="E85" s="166">
        <v>47</v>
      </c>
      <c r="F85" s="166">
        <v>100</v>
      </c>
      <c r="G85" s="98"/>
      <c r="H85" s="98"/>
      <c r="I85" s="98"/>
    </row>
    <row r="86" spans="2:9" ht="16.5">
      <c r="B86" s="100"/>
      <c r="C86" s="165" t="s">
        <v>122</v>
      </c>
      <c r="D86" s="166">
        <v>978</v>
      </c>
      <c r="E86" s="166">
        <v>978</v>
      </c>
      <c r="F86" s="166">
        <v>100</v>
      </c>
      <c r="G86" s="98"/>
      <c r="H86" s="98"/>
      <c r="I86" s="98"/>
    </row>
    <row r="87" spans="2:9" ht="16.5">
      <c r="B87" s="100"/>
      <c r="C87" s="167" t="s">
        <v>123</v>
      </c>
      <c r="D87" s="166">
        <v>489</v>
      </c>
      <c r="E87" s="166">
        <v>489</v>
      </c>
      <c r="F87" s="166">
        <v>100</v>
      </c>
      <c r="G87" s="98"/>
      <c r="H87" s="98"/>
      <c r="I87" s="98"/>
    </row>
    <row r="88" spans="2:9" ht="16.5">
      <c r="B88" s="100"/>
      <c r="C88" s="167" t="s">
        <v>124</v>
      </c>
      <c r="D88" s="166">
        <v>489</v>
      </c>
      <c r="E88" s="166">
        <v>489</v>
      </c>
      <c r="F88" s="166">
        <v>100</v>
      </c>
      <c r="G88" s="98"/>
      <c r="H88" s="98"/>
      <c r="I88" s="98"/>
    </row>
    <row r="89" spans="2:9" ht="16.5">
      <c r="B89" s="100"/>
      <c r="C89"/>
      <c r="D89"/>
      <c r="E89"/>
      <c r="F89"/>
      <c r="G89" s="98"/>
      <c r="H89" s="98"/>
      <c r="I89" s="98"/>
    </row>
    <row r="90" spans="2:9" ht="16.5">
      <c r="B90" s="100"/>
      <c r="C90" s="103"/>
      <c r="D90" s="103"/>
      <c r="E90" s="103"/>
      <c r="F90" s="103"/>
      <c r="G90" s="98"/>
      <c r="H90" s="98"/>
      <c r="I90" s="98"/>
    </row>
    <row r="91" spans="2:9" ht="16.5">
      <c r="B91" s="100"/>
      <c r="C91" s="165" t="s">
        <v>125</v>
      </c>
      <c r="D91" s="166">
        <v>21</v>
      </c>
      <c r="E91" s="166">
        <v>21</v>
      </c>
      <c r="F91" s="166">
        <v>100</v>
      </c>
      <c r="G91" s="98"/>
      <c r="H91" s="98"/>
      <c r="I91" s="98"/>
    </row>
    <row r="92" spans="2:9" ht="16.5">
      <c r="B92" s="100"/>
      <c r="C92" s="165" t="s">
        <v>126</v>
      </c>
      <c r="D92" s="166">
        <v>488</v>
      </c>
      <c r="E92" s="166">
        <v>488</v>
      </c>
      <c r="F92" s="166">
        <v>100</v>
      </c>
      <c r="G92" s="98"/>
      <c r="H92" s="98"/>
      <c r="I92" s="98"/>
    </row>
    <row r="93" spans="2:9" ht="16.5">
      <c r="B93" s="100"/>
      <c r="C93" s="167" t="s">
        <v>127</v>
      </c>
      <c r="D93" s="166">
        <v>244</v>
      </c>
      <c r="E93" s="166">
        <v>244</v>
      </c>
      <c r="F93" s="166">
        <v>100</v>
      </c>
      <c r="G93" s="98"/>
      <c r="H93" s="98"/>
      <c r="I93" s="98"/>
    </row>
    <row r="94" spans="2:9" ht="16.5">
      <c r="B94" s="100"/>
      <c r="C94" s="167" t="s">
        <v>128</v>
      </c>
      <c r="D94" s="166">
        <v>244</v>
      </c>
      <c r="E94" s="166">
        <v>244</v>
      </c>
      <c r="F94" s="166">
        <v>100</v>
      </c>
      <c r="G94" s="98"/>
      <c r="H94" s="98"/>
      <c r="I94" s="98"/>
    </row>
    <row r="95" spans="2:9" ht="16.5">
      <c r="B95" s="100"/>
      <c r="C95"/>
      <c r="D95"/>
      <c r="E95"/>
      <c r="F95"/>
      <c r="G95" s="98"/>
      <c r="H95" s="98"/>
      <c r="I95" s="98"/>
    </row>
    <row r="96" spans="2:9" ht="16.5">
      <c r="B96" s="100"/>
      <c r="C96" s="103"/>
      <c r="D96" s="103"/>
      <c r="E96" s="103"/>
      <c r="F96" s="103"/>
      <c r="G96" s="98"/>
      <c r="H96" s="98"/>
      <c r="I96" s="98"/>
    </row>
    <row r="97" spans="2:10" ht="16.5">
      <c r="B97" s="100"/>
      <c r="C97" s="165" t="s">
        <v>129</v>
      </c>
      <c r="D97" s="166">
        <v>26</v>
      </c>
      <c r="E97" s="166">
        <v>26</v>
      </c>
      <c r="F97" s="166">
        <v>100</v>
      </c>
      <c r="G97" s="98"/>
      <c r="H97" s="98"/>
      <c r="I97" s="98"/>
    </row>
    <row r="98" spans="2:10" ht="16.5">
      <c r="B98" s="100"/>
      <c r="C98" s="165" t="s">
        <v>130</v>
      </c>
      <c r="D98" s="166">
        <v>490</v>
      </c>
      <c r="E98" s="166">
        <v>490</v>
      </c>
      <c r="F98" s="166">
        <v>100</v>
      </c>
      <c r="G98" s="98"/>
      <c r="H98" s="98"/>
      <c r="I98" s="98"/>
    </row>
    <row r="99" spans="2:10" ht="16.5">
      <c r="B99" s="100"/>
      <c r="C99" s="167" t="s">
        <v>131</v>
      </c>
      <c r="D99" s="166">
        <v>245</v>
      </c>
      <c r="E99" s="166">
        <v>245</v>
      </c>
      <c r="F99" s="166">
        <v>100</v>
      </c>
      <c r="G99" s="98"/>
      <c r="H99" s="98"/>
      <c r="I99" s="98"/>
    </row>
    <row r="100" spans="2:10" ht="16.5">
      <c r="B100" s="100"/>
      <c r="C100" s="167" t="s">
        <v>132</v>
      </c>
      <c r="D100" s="166">
        <v>245</v>
      </c>
      <c r="E100" s="166">
        <v>245</v>
      </c>
      <c r="F100" s="166">
        <v>100</v>
      </c>
      <c r="G100" s="98"/>
      <c r="H100" s="98"/>
      <c r="I100" s="98"/>
    </row>
    <row r="101" spans="2:10" ht="16.5">
      <c r="B101" s="100"/>
      <c r="C101" s="103"/>
      <c r="D101" s="103"/>
      <c r="E101" s="103"/>
      <c r="F101" s="103"/>
      <c r="G101" s="98"/>
      <c r="H101" s="98"/>
      <c r="I101" s="98"/>
    </row>
    <row r="102" spans="2:10" ht="16.5">
      <c r="B102" s="100"/>
      <c r="C102" s="100"/>
      <c r="D102" s="101"/>
      <c r="E102" s="100"/>
      <c r="F102" s="98"/>
      <c r="G102" s="98"/>
      <c r="H102" s="98"/>
      <c r="I102" s="98"/>
    </row>
    <row r="103" spans="2:10" ht="16.5">
      <c r="C103" s="113" t="s">
        <v>133</v>
      </c>
      <c r="D103" s="113" t="s">
        <v>134</v>
      </c>
      <c r="E103" s="113" t="s">
        <v>135</v>
      </c>
      <c r="F103" s="113" t="s">
        <v>136</v>
      </c>
      <c r="G103" s="113" t="s">
        <v>137</v>
      </c>
      <c r="H103" s="168" t="s">
        <v>138</v>
      </c>
      <c r="I103" s="168" t="s">
        <v>139</v>
      </c>
      <c r="J103" s="114" t="s">
        <v>140</v>
      </c>
    </row>
    <row r="104" spans="2:10" ht="16.5">
      <c r="C104" s="115" t="s">
        <v>141</v>
      </c>
      <c r="D104" s="116" t="s">
        <v>142</v>
      </c>
      <c r="E104" s="116" t="s">
        <v>142</v>
      </c>
      <c r="F104" s="116" t="s">
        <v>142</v>
      </c>
      <c r="G104" s="115" t="s">
        <v>143</v>
      </c>
      <c r="H104" s="127"/>
      <c r="I104" s="169"/>
      <c r="J104" s="170" t="s">
        <v>144</v>
      </c>
    </row>
    <row r="105" spans="2:10" ht="16.5">
      <c r="C105" s="115" t="s">
        <v>228</v>
      </c>
      <c r="D105" s="116" t="s">
        <v>142</v>
      </c>
      <c r="E105" s="116" t="s">
        <v>142</v>
      </c>
      <c r="F105" s="116" t="s">
        <v>142</v>
      </c>
      <c r="G105" s="115" t="s">
        <v>143</v>
      </c>
      <c r="H105" s="127"/>
      <c r="I105" s="169"/>
      <c r="J105" s="170" t="s">
        <v>144</v>
      </c>
    </row>
    <row r="106" spans="2:10" ht="16.5">
      <c r="C106" s="115" t="s">
        <v>146</v>
      </c>
      <c r="D106" s="116" t="s">
        <v>142</v>
      </c>
      <c r="E106" s="116" t="s">
        <v>142</v>
      </c>
      <c r="F106" s="116" t="s">
        <v>142</v>
      </c>
      <c r="G106" s="115" t="s">
        <v>143</v>
      </c>
      <c r="H106" s="171"/>
      <c r="I106" s="172"/>
      <c r="J106" s="173" t="s">
        <v>144</v>
      </c>
    </row>
    <row r="107" spans="2:10" ht="16.5">
      <c r="C107" s="115" t="s">
        <v>229</v>
      </c>
      <c r="D107" s="116" t="s">
        <v>142</v>
      </c>
      <c r="E107" s="116" t="s">
        <v>142</v>
      </c>
      <c r="F107" s="116" t="s">
        <v>142</v>
      </c>
      <c r="G107" s="115" t="s">
        <v>143</v>
      </c>
      <c r="H107" s="127"/>
      <c r="I107" s="169"/>
      <c r="J107" s="174" t="s">
        <v>144</v>
      </c>
    </row>
    <row r="108" spans="2:10" ht="16.5">
      <c r="C108" s="100"/>
      <c r="D108" s="100"/>
      <c r="E108" s="101"/>
      <c r="F108" s="100"/>
      <c r="G108" s="98"/>
      <c r="H108" s="98"/>
      <c r="I108" s="98"/>
      <c r="J108" s="122"/>
    </row>
    <row r="109" spans="2:10" ht="16.5">
      <c r="C109" s="100"/>
      <c r="D109" s="100"/>
      <c r="E109" s="101"/>
      <c r="F109" s="100"/>
      <c r="G109" s="98"/>
      <c r="H109" s="98"/>
      <c r="I109" s="98"/>
      <c r="J109" s="122"/>
    </row>
    <row r="110" spans="2:10" ht="16.5">
      <c r="C110" s="103" t="s">
        <v>181</v>
      </c>
      <c r="D110" s="123" t="s">
        <v>134</v>
      </c>
      <c r="E110" s="123" t="s">
        <v>135</v>
      </c>
      <c r="F110" s="123" t="s">
        <v>136</v>
      </c>
      <c r="G110" s="115"/>
      <c r="H110" s="124" t="s">
        <v>138</v>
      </c>
      <c r="I110" s="125" t="s">
        <v>139</v>
      </c>
      <c r="J110" s="126" t="s">
        <v>140</v>
      </c>
    </row>
    <row r="111" spans="2:10" ht="16.5">
      <c r="C111" s="115" t="s">
        <v>230</v>
      </c>
      <c r="D111" s="116" t="s">
        <v>142</v>
      </c>
      <c r="E111" s="116" t="s">
        <v>142</v>
      </c>
      <c r="F111" s="116" t="s">
        <v>182</v>
      </c>
      <c r="G111" s="175"/>
      <c r="H111" s="127"/>
      <c r="I111" s="127"/>
      <c r="J111" s="128" t="s">
        <v>144</v>
      </c>
    </row>
    <row r="112" spans="2:10" ht="16.5">
      <c r="C112" s="115" t="s">
        <v>231</v>
      </c>
      <c r="D112" s="116" t="s">
        <v>142</v>
      </c>
      <c r="E112" s="116" t="s">
        <v>142</v>
      </c>
      <c r="F112" s="116" t="s">
        <v>182</v>
      </c>
      <c r="G112" s="175"/>
      <c r="H112" s="127"/>
      <c r="I112" s="127"/>
      <c r="J112" s="128" t="s">
        <v>144</v>
      </c>
    </row>
    <row r="113" spans="2:10" ht="16.5">
      <c r="C113" s="115" t="s">
        <v>232</v>
      </c>
      <c r="D113" s="116" t="s">
        <v>142</v>
      </c>
      <c r="E113" s="116" t="s">
        <v>142</v>
      </c>
      <c r="F113" s="116" t="s">
        <v>182</v>
      </c>
      <c r="G113" s="175"/>
      <c r="H113" s="127"/>
      <c r="I113" s="127"/>
      <c r="J113" s="128" t="s">
        <v>144</v>
      </c>
    </row>
    <row r="114" spans="2:10" ht="16.5">
      <c r="C114" s="115" t="s">
        <v>233</v>
      </c>
      <c r="D114" s="116" t="s">
        <v>142</v>
      </c>
      <c r="E114" s="116" t="s">
        <v>142</v>
      </c>
      <c r="F114" s="116" t="s">
        <v>182</v>
      </c>
      <c r="G114" s="175"/>
      <c r="H114" s="127"/>
      <c r="I114" s="127"/>
      <c r="J114" s="128" t="s">
        <v>144</v>
      </c>
    </row>
    <row r="117" spans="2:10" ht="19.5">
      <c r="B117" s="99" t="s">
        <v>201</v>
      </c>
      <c r="C117" s="100"/>
      <c r="D117" s="101"/>
      <c r="E117" s="100"/>
      <c r="F117" s="98"/>
      <c r="G117" s="98"/>
      <c r="H117" s="98"/>
      <c r="I117" s="122"/>
    </row>
    <row r="118" spans="2:10" ht="16.5">
      <c r="B118" s="100"/>
      <c r="C118" s="100"/>
      <c r="D118" s="101"/>
      <c r="E118" s="100"/>
      <c r="F118" s="98"/>
      <c r="G118" s="98"/>
      <c r="H118" s="98"/>
      <c r="I118" s="122"/>
    </row>
    <row r="119" spans="2:10" ht="16.5">
      <c r="C119" s="129"/>
      <c r="D119" s="134" t="s">
        <v>197</v>
      </c>
      <c r="E119" s="134" t="s">
        <v>58</v>
      </c>
      <c r="F119" s="134" t="s">
        <v>91</v>
      </c>
      <c r="G119" s="134" t="s">
        <v>120</v>
      </c>
      <c r="H119" s="124" t="s">
        <v>138</v>
      </c>
      <c r="I119" s="124" t="s">
        <v>139</v>
      </c>
      <c r="J119" s="131" t="s">
        <v>140</v>
      </c>
    </row>
    <row r="120" spans="2:10" ht="16.5">
      <c r="C120" s="176" t="s">
        <v>234</v>
      </c>
      <c r="D120" s="176"/>
      <c r="E120" s="176">
        <v>61</v>
      </c>
      <c r="F120" s="176">
        <v>61</v>
      </c>
      <c r="G120" s="176">
        <v>100</v>
      </c>
      <c r="H120" s="127"/>
      <c r="I120" s="127"/>
      <c r="J120" s="128" t="s">
        <v>144</v>
      </c>
    </row>
    <row r="121" spans="2:10" ht="16.5">
      <c r="C121" s="176" t="s">
        <v>235</v>
      </c>
      <c r="D121" s="176">
        <v>82</v>
      </c>
      <c r="E121" s="176">
        <v>2</v>
      </c>
      <c r="F121" s="176">
        <v>2</v>
      </c>
      <c r="G121" s="176">
        <v>100</v>
      </c>
      <c r="H121" s="127"/>
      <c r="I121" s="127"/>
      <c r="J121" s="128" t="s">
        <v>144</v>
      </c>
    </row>
    <row r="122" spans="2:10" ht="16.5">
      <c r="C122" s="176" t="s">
        <v>236</v>
      </c>
      <c r="D122" s="176">
        <v>96</v>
      </c>
      <c r="E122" s="176">
        <v>14</v>
      </c>
      <c r="F122" s="176">
        <v>14</v>
      </c>
      <c r="G122" s="176">
        <v>100</v>
      </c>
      <c r="H122" s="127"/>
      <c r="I122" s="127"/>
      <c r="J122" s="128" t="s">
        <v>144</v>
      </c>
    </row>
    <row r="123" spans="2:10" ht="16.5">
      <c r="C123" s="176" t="s">
        <v>235</v>
      </c>
      <c r="D123" s="176">
        <v>175</v>
      </c>
      <c r="E123" s="176">
        <v>4</v>
      </c>
      <c r="F123" s="176">
        <v>4</v>
      </c>
      <c r="G123" s="176">
        <v>100</v>
      </c>
      <c r="H123" s="127"/>
      <c r="I123" s="127"/>
      <c r="J123" s="128" t="s">
        <v>144</v>
      </c>
    </row>
    <row r="124" spans="2:10" ht="16.5">
      <c r="C124" s="176" t="s">
        <v>235</v>
      </c>
      <c r="D124" s="176">
        <v>191</v>
      </c>
      <c r="E124" s="176">
        <v>2</v>
      </c>
      <c r="F124" s="176">
        <v>2</v>
      </c>
      <c r="G124" s="176">
        <v>100</v>
      </c>
      <c r="H124" s="127"/>
      <c r="I124" s="127"/>
      <c r="J124" s="128" t="s">
        <v>144</v>
      </c>
    </row>
    <row r="125" spans="2:10" ht="16.5">
      <c r="C125" s="176" t="s">
        <v>235</v>
      </c>
      <c r="D125" s="176">
        <v>203</v>
      </c>
      <c r="E125" s="176">
        <v>4</v>
      </c>
      <c r="F125" s="176">
        <v>4</v>
      </c>
      <c r="G125" s="176">
        <v>100</v>
      </c>
      <c r="H125" s="127"/>
      <c r="I125" s="127"/>
      <c r="J125" s="128" t="s">
        <v>144</v>
      </c>
    </row>
    <row r="126" spans="2:10" ht="16.5">
      <c r="C126" s="176" t="s">
        <v>235</v>
      </c>
      <c r="D126" s="176">
        <v>219</v>
      </c>
      <c r="E126" s="176">
        <v>3</v>
      </c>
      <c r="F126" s="176">
        <v>3</v>
      </c>
      <c r="G126" s="176">
        <v>100</v>
      </c>
      <c r="H126" s="127"/>
      <c r="I126" s="127"/>
      <c r="J126" s="128" t="s">
        <v>144</v>
      </c>
    </row>
    <row r="127" spans="2:10" ht="16.5">
      <c r="C127" s="176" t="s">
        <v>235</v>
      </c>
      <c r="D127" s="176">
        <v>231</v>
      </c>
      <c r="E127" s="176">
        <v>3</v>
      </c>
      <c r="F127" s="176">
        <v>3</v>
      </c>
      <c r="G127" s="176">
        <v>100</v>
      </c>
      <c r="H127" s="127"/>
      <c r="I127" s="127"/>
      <c r="J127" s="128" t="s">
        <v>144</v>
      </c>
    </row>
    <row r="128" spans="2:10" ht="16.5">
      <c r="C128" s="176" t="s">
        <v>235</v>
      </c>
      <c r="D128" s="176">
        <v>246</v>
      </c>
      <c r="E128" s="176">
        <v>4</v>
      </c>
      <c r="F128" s="176">
        <v>4</v>
      </c>
      <c r="G128" s="176">
        <v>100</v>
      </c>
      <c r="H128" s="127"/>
      <c r="I128" s="127"/>
      <c r="J128" s="128" t="s">
        <v>144</v>
      </c>
    </row>
    <row r="129" spans="3:10" ht="16.5">
      <c r="C129" s="176" t="s">
        <v>235</v>
      </c>
      <c r="D129" s="176">
        <v>261</v>
      </c>
      <c r="E129" s="176">
        <v>4</v>
      </c>
      <c r="F129" s="176">
        <v>4</v>
      </c>
      <c r="G129" s="176">
        <v>100</v>
      </c>
      <c r="H129" s="127"/>
      <c r="I129" s="127"/>
      <c r="J129" s="128" t="s">
        <v>144</v>
      </c>
    </row>
    <row r="130" spans="3:10" ht="16.5">
      <c r="C130" s="176" t="s">
        <v>235</v>
      </c>
      <c r="D130" s="176">
        <v>276</v>
      </c>
      <c r="E130" s="176">
        <v>3</v>
      </c>
      <c r="F130" s="176">
        <v>3</v>
      </c>
      <c r="G130" s="176">
        <v>100</v>
      </c>
      <c r="H130" s="127"/>
      <c r="I130" s="127"/>
      <c r="J130" s="128" t="s">
        <v>144</v>
      </c>
    </row>
    <row r="131" spans="3:10" ht="16.5">
      <c r="C131" s="176" t="s">
        <v>235</v>
      </c>
      <c r="D131" s="176">
        <v>289</v>
      </c>
      <c r="E131" s="176">
        <v>2</v>
      </c>
      <c r="F131" s="176">
        <v>2</v>
      </c>
      <c r="G131" s="176">
        <v>100</v>
      </c>
      <c r="H131" s="127"/>
      <c r="I131" s="127"/>
      <c r="J131" s="128" t="s">
        <v>144</v>
      </c>
    </row>
    <row r="132" spans="3:10" ht="16.5">
      <c r="C132" s="176" t="s">
        <v>235</v>
      </c>
      <c r="D132" s="176">
        <v>300</v>
      </c>
      <c r="E132" s="176">
        <v>2</v>
      </c>
      <c r="F132" s="176">
        <v>2</v>
      </c>
      <c r="G132" s="176">
        <v>100</v>
      </c>
      <c r="H132" s="127"/>
      <c r="I132" s="127"/>
      <c r="J132" s="128" t="s">
        <v>144</v>
      </c>
    </row>
    <row r="133" spans="3:10" ht="16.5">
      <c r="C133" s="176" t="s">
        <v>235</v>
      </c>
      <c r="D133" s="176">
        <v>315</v>
      </c>
      <c r="E133" s="176">
        <v>2</v>
      </c>
      <c r="F133" s="176">
        <v>2</v>
      </c>
      <c r="G133" s="176">
        <v>100</v>
      </c>
      <c r="H133" s="127"/>
      <c r="I133" s="127"/>
      <c r="J133" s="128" t="s">
        <v>144</v>
      </c>
    </row>
    <row r="134" spans="3:10" ht="16.5">
      <c r="C134" s="176" t="s">
        <v>235</v>
      </c>
      <c r="D134" s="176">
        <v>336</v>
      </c>
      <c r="E134" s="176">
        <v>2</v>
      </c>
      <c r="F134" s="176">
        <v>2</v>
      </c>
      <c r="G134" s="176">
        <v>100</v>
      </c>
      <c r="H134" s="127"/>
      <c r="I134" s="127"/>
      <c r="J134" s="128" t="s">
        <v>144</v>
      </c>
    </row>
    <row r="135" spans="3:10" ht="16.5">
      <c r="C135" s="176" t="s">
        <v>235</v>
      </c>
      <c r="D135" s="176">
        <v>344</v>
      </c>
      <c r="E135" s="176">
        <v>5</v>
      </c>
      <c r="F135" s="176">
        <v>5</v>
      </c>
      <c r="G135" s="176">
        <v>100</v>
      </c>
      <c r="H135" s="127"/>
      <c r="I135" s="127"/>
      <c r="J135" s="128" t="s">
        <v>144</v>
      </c>
    </row>
    <row r="136" spans="3:10" ht="16.5">
      <c r="C136" s="176" t="s">
        <v>235</v>
      </c>
      <c r="D136" s="176">
        <v>361</v>
      </c>
      <c r="E136" s="176">
        <v>5</v>
      </c>
      <c r="F136" s="176">
        <v>5</v>
      </c>
      <c r="G136" s="176">
        <v>100</v>
      </c>
      <c r="H136" s="127"/>
      <c r="I136" s="127"/>
      <c r="J136" s="128" t="s">
        <v>144</v>
      </c>
    </row>
  </sheetData>
  <conditionalFormatting sqref="G25:G29 I61:I62 J63:J80 J104:J114">
    <cfRule type="containsText" dxfId="12" priority="16" operator="containsText" text="OK">
      <formula>NOT(ISERROR(SEARCH("OK",G25)))</formula>
    </cfRule>
    <cfRule type="containsText" dxfId="11" priority="17" operator="containsText" text="NG">
      <formula>NOT(ISERROR(SEARCH("NG",G25)))</formula>
    </cfRule>
  </conditionalFormatting>
  <conditionalFormatting sqref="G35:G39">
    <cfRule type="containsText" dxfId="10" priority="14" operator="containsText" text="OK">
      <formula>NOT(ISERROR(SEARCH("OK",G35)))</formula>
    </cfRule>
    <cfRule type="containsText" dxfId="9" priority="15" operator="containsText" text="NG">
      <formula>NOT(ISERROR(SEARCH("NG",G35)))</formula>
    </cfRule>
  </conditionalFormatting>
  <conditionalFormatting sqref="G45:G48">
    <cfRule type="containsText" dxfId="8" priority="12" operator="containsText" text="OK">
      <formula>NOT(ISERROR(SEARCH("OK",G45)))</formula>
    </cfRule>
    <cfRule type="containsText" dxfId="7" priority="13" operator="containsText" text="NG">
      <formula>NOT(ISERROR(SEARCH("NG",G45)))</formula>
    </cfRule>
  </conditionalFormatting>
  <conditionalFormatting sqref="G54:G57">
    <cfRule type="containsText" dxfId="6" priority="10" operator="containsText" text="OK">
      <formula>NOT(ISERROR(SEARCH("OK",G54)))</formula>
    </cfRule>
    <cfRule type="containsText" dxfId="5" priority="11" operator="containsText" text="NG">
      <formula>NOT(ISERROR(SEARCH("NG",G54)))</formula>
    </cfRule>
  </conditionalFormatting>
  <conditionalFormatting sqref="H12">
    <cfRule type="containsText" dxfId="4" priority="6" operator="containsText" text="OK">
      <formula>NOT(ISERROR(SEARCH("OK",H12)))</formula>
    </cfRule>
    <cfRule type="containsText" dxfId="3" priority="7" operator="containsText" text="NG">
      <formula>NOT(ISERROR(SEARCH("NG",H12)))</formula>
    </cfRule>
  </conditionalFormatting>
  <conditionalFormatting sqref="C103:G103">
    <cfRule type="cellIs" dxfId="2" priority="5" stopIfTrue="1" operator="equal">
      <formula>"No"</formula>
    </cfRule>
  </conditionalFormatting>
  <conditionalFormatting sqref="J119:J136">
    <cfRule type="containsText" dxfId="1" priority="1" operator="containsText" text="OK">
      <formula>NOT(ISERROR(SEARCH("OK",J119)))</formula>
    </cfRule>
    <cfRule type="containsText" dxfId="0" priority="2" operator="containsText" text="NG">
      <formula>NOT(ISERROR(SEARCH("NG",J119)))</formula>
    </cfRule>
  </conditionalFormatting>
  <pageMargins left="0.36458333333333298" right="0.31862745098039202" top="0.73958333333333304" bottom="0.75" header="0.3" footer="0.3"/>
  <pageSetup paperSize="12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B2:D13"/>
  <sheetViews>
    <sheetView tabSelected="1" topLeftCell="A9" zoomScaleNormal="100" zoomScalePageLayoutView="115" workbookViewId="0">
      <selection activeCell="D22" sqref="D22"/>
    </sheetView>
  </sheetViews>
  <sheetFormatPr defaultColWidth="8.75" defaultRowHeight="15.75"/>
  <cols>
    <col min="1" max="1" width="3.25" style="13" customWidth="1"/>
    <col min="2" max="2" width="14.875" style="13" customWidth="1"/>
    <col min="3" max="3" width="19.375" style="13" customWidth="1"/>
    <col min="4" max="4" width="120.125" style="13" customWidth="1"/>
    <col min="5" max="5" width="11.25" style="13" bestFit="1" customWidth="1"/>
    <col min="6" max="16384" width="8.75" style="13"/>
  </cols>
  <sheetData>
    <row r="2" spans="2:4" s="20" customFormat="1" ht="30">
      <c r="B2" s="19" t="s">
        <v>99</v>
      </c>
      <c r="C2" s="19"/>
      <c r="D2" s="19"/>
    </row>
    <row r="4" spans="2:4" ht="16.5">
      <c r="B4" s="87" t="s">
        <v>100</v>
      </c>
      <c r="C4"/>
      <c r="D4"/>
    </row>
    <row r="5" spans="2:4" ht="16.5" customHeight="1">
      <c r="B5" s="88"/>
      <c r="C5" s="88" t="s">
        <v>101</v>
      </c>
      <c r="D5" s="88" t="s">
        <v>102</v>
      </c>
    </row>
    <row r="6" spans="2:4">
      <c r="B6" s="88" t="s">
        <v>103</v>
      </c>
      <c r="C6" s="88" t="s">
        <v>104</v>
      </c>
      <c r="D6" s="88" t="s">
        <v>104</v>
      </c>
    </row>
    <row r="7" spans="2:4">
      <c r="B7" s="89" t="s">
        <v>105</v>
      </c>
      <c r="C7" s="93" t="s">
        <v>109</v>
      </c>
      <c r="D7" s="93" t="s">
        <v>110</v>
      </c>
    </row>
    <row r="8" spans="2:4">
      <c r="B8" s="90"/>
      <c r="C8" s="93" t="s">
        <v>109</v>
      </c>
      <c r="D8" s="93" t="s">
        <v>110</v>
      </c>
    </row>
    <row r="9" spans="2:4" ht="16.5">
      <c r="B9" s="91"/>
      <c r="C9" s="91"/>
      <c r="D9" s="91"/>
    </row>
    <row r="10" spans="2:4" ht="16.5">
      <c r="B10" s="92" t="s">
        <v>106</v>
      </c>
      <c r="C10" s="91"/>
      <c r="D10" s="91"/>
    </row>
    <row r="11" spans="2:4" ht="16.5">
      <c r="B11" s="85" t="s">
        <v>107</v>
      </c>
      <c r="C11" s="85" t="s">
        <v>101</v>
      </c>
      <c r="D11" s="85" t="s">
        <v>108</v>
      </c>
    </row>
    <row r="12" spans="2:4" ht="16.5">
      <c r="B12" s="94" t="s">
        <v>112</v>
      </c>
      <c r="C12" s="93" t="s">
        <v>109</v>
      </c>
      <c r="D12" s="93" t="s">
        <v>111</v>
      </c>
    </row>
    <row r="13" spans="2:4" ht="16.5">
      <c r="B13" s="94" t="s">
        <v>112</v>
      </c>
      <c r="C13" s="93" t="s">
        <v>109</v>
      </c>
      <c r="D13" s="93" t="s">
        <v>111</v>
      </c>
    </row>
  </sheetData>
  <pageMargins left="0.36458333333333298" right="0.31862745098039202" top="0.73958333333333304" bottom="0.75" header="0.3" footer="0.3"/>
  <pageSetup paperSize="12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1.Cover</vt:lpstr>
      <vt:lpstr>2.History_ver</vt:lpstr>
      <vt:lpstr>3.SIM_Result</vt:lpstr>
      <vt:lpstr>4.SVA_Result</vt:lpstr>
      <vt:lpstr>5.FCOV_Result</vt:lpstr>
      <vt:lpstr>6.CCOV_Result</vt:lpstr>
      <vt:lpstr>6.1.Sub_moduleA_CCOV_Sample1</vt:lpstr>
      <vt:lpstr>6.2.Sub_moduleA_CCOV_Sample2</vt:lpstr>
      <vt:lpstr>9.Bug_List</vt:lpstr>
      <vt:lpstr>Total_T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2026-01-07T07:14:31Z</dcterms:modified>
</cp:coreProperties>
</file>
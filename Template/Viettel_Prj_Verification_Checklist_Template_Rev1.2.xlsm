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/>
  <workbookPr filterPrivacy="1" codeName="ThisWorkbook"/>
  <xr:revisionPtr revIDLastSave="0" documentId="13_ncr:1_{C7D221F1-9A34-4FEA-9941-EB834E0D6203}" xr6:coauthVersionLast="47" xr6:coauthVersionMax="47" xr10:uidLastSave="{00000000-0000-0000-0000-000000000000}"/>
  <bookViews>
    <workbookView xWindow="20430" yWindow="-60" windowWidth="28920" windowHeight="15600" tabRatio="780" activeTab="7" xr2:uid="{00000000-000D-0000-FFFF-FFFF00000000}"/>
  </bookViews>
  <sheets>
    <sheet name="1.Cover" sheetId="2" r:id="rId1"/>
    <sheet name="2.History_ver" sheetId="10" r:id="rId2"/>
    <sheet name="3.Summary" sheetId="9" r:id="rId3"/>
    <sheet name="4.Definition_list" sheetId="27" r:id="rId4"/>
    <sheet name="5.Function_list" sheetId="25" r:id="rId5"/>
    <sheet name="6.Testlist" sheetId="26" r:id="rId6"/>
    <sheet name="7.Scenario_flow" sheetId="28" r:id="rId7"/>
    <sheet name="8.SVA_List" sheetId="30" r:id="rId8"/>
    <sheet name="9.Q&amp;A" sheetId="18" r:id="rId9"/>
  </sheets>
  <definedNames>
    <definedName name="_▪_Figure_1">#REF!</definedName>
    <definedName name="Assertion_Coverage">'3.Summary'!#REF!</definedName>
    <definedName name="cg_1" localSheetId="6">#REF!</definedName>
    <definedName name="cg_1">#REF!</definedName>
    <definedName name="Code_Coverage">'3.Summary'!#REF!</definedName>
    <definedName name="ctr_tb1" localSheetId="7">#REF!</definedName>
    <definedName name="ctr_tb1">#REF!</definedName>
    <definedName name="f_1">'7.Scenario_flow'!$B$7</definedName>
    <definedName name="Fail_T">'3.Summary'!#REF!</definedName>
    <definedName name="fig_1">'8.SVA_List'!#REF!</definedName>
    <definedName name="Funtional_Coverage">'3.Summary'!#REF!</definedName>
    <definedName name="options">#REF!</definedName>
    <definedName name="par0_tb1" localSheetId="7">#REF!</definedName>
    <definedName name="par0_tb1">#REF!</definedName>
    <definedName name="par0_tb2" localSheetId="7">#REF!</definedName>
    <definedName name="par0_tb2">#REF!</definedName>
    <definedName name="par0_tb3" localSheetId="7">#REF!</definedName>
    <definedName name="par0_tb3">#REF!</definedName>
    <definedName name="par1_tb1" localSheetId="7">#REF!</definedName>
    <definedName name="par1_tb1">#REF!</definedName>
    <definedName name="Pass_T">'3.Summary'!#REF!</definedName>
    <definedName name="percent">#REF!</definedName>
    <definedName name="_xlnm.Print_Area" localSheetId="3">'4.Definition_list'!$A$1:$D$22</definedName>
    <definedName name="_xlnm.Print_Area" localSheetId="4">'5.Function_list'!$A$2:$G$20</definedName>
    <definedName name="_xlnm.Print_Area" localSheetId="5">'6.Testlist'!$A$1:$U$15</definedName>
    <definedName name="_xlnm.Print_Area" localSheetId="6">'7.Scenario_flow'!$A$2:$AG$87</definedName>
    <definedName name="reg_tb1" localSheetId="7">#REF!</definedName>
    <definedName name="reg_tb1">#REF!</definedName>
    <definedName name="reg_tb2" localSheetId="7">#REF!</definedName>
    <definedName name="reg_tb2">#REF!</definedName>
    <definedName name="reg_tb3" localSheetId="7">#REF!</definedName>
    <definedName name="reg_tb3">#REF!</definedName>
    <definedName name="reg_tb4" localSheetId="7">#REF!</definedName>
    <definedName name="reg_tb4">#REF!</definedName>
    <definedName name="reg_tb5" localSheetId="7">#REF!</definedName>
    <definedName name="reg_tb5">#REF!</definedName>
    <definedName name="reg_tb6" localSheetId="7">#REF!</definedName>
    <definedName name="reg_tb6">#REF!</definedName>
    <definedName name="sys_reg_tb1" localSheetId="7">#REF!</definedName>
    <definedName name="sys_reg_tb1">#REF!</definedName>
    <definedName name="Total_T">'3.Summary'!$H$14:$H$78</definedName>
    <definedName name="WindowOffse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9" l="1"/>
  <c r="H11" i="9"/>
  <c r="G12" i="9"/>
  <c r="G11" i="9"/>
  <c r="F13" i="9"/>
  <c r="F12" i="9"/>
  <c r="F11" i="9"/>
  <c r="L7" i="26"/>
  <c r="P7" i="26"/>
  <c r="Q7" i="26"/>
  <c r="G13" i="9" s="1"/>
  <c r="H13" i="9" s="1"/>
  <c r="M7" i="26"/>
  <c r="A5" i="30"/>
  <c r="I7" i="26" l="1"/>
  <c r="H7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0" authorId="0" shapeId="0" xr:uid="{3B093D52-A077-4C0F-80D5-CDC6084F80CB}">
      <text>
        <r>
          <rPr>
            <sz val="9"/>
            <color indexed="81"/>
            <rFont val="Tahoma"/>
            <family val="2"/>
          </rPr>
          <t xml:space="preserve">- Refer to Sheet 6.Testlist for detail
</t>
        </r>
      </text>
    </comment>
    <comment ref="D10" authorId="0" shapeId="0" xr:uid="{1B0E0477-AA45-4AC3-AF0B-17D2D0FA0235}">
      <text>
        <r>
          <rPr>
            <sz val="9"/>
            <color indexed="81"/>
            <rFont val="Tahoma"/>
            <family val="2"/>
          </rPr>
          <t xml:space="preserve">- Testbench revision, hash of ENV on repo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5" authorId="0" shapeId="0" xr:uid="{7646860C-B59B-4803-96A3-6F54851CD2CD}">
      <text>
        <r>
          <rPr>
            <sz val="9"/>
            <color indexed="81"/>
            <rFont val="Tahoma"/>
            <family val="2"/>
          </rPr>
          <t xml:space="preserve">Be careful name rule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5" authorId="0" shapeId="0" xr:uid="{35C9F8DD-55D5-4D9F-ADBA-3751DE180DC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Determine the item check such as initial value, connection, pusle, rise, fall… </t>
        </r>
      </text>
    </comment>
  </commentList>
</comments>
</file>

<file path=xl/sharedStrings.xml><?xml version="1.0" encoding="utf-8"?>
<sst xmlns="http://schemas.openxmlformats.org/spreadsheetml/2006/main" count="242" uniqueCount="171">
  <si>
    <t>No</t>
  </si>
  <si>
    <t>Date</t>
  </si>
  <si>
    <t>Content</t>
  </si>
  <si>
    <t>Author</t>
  </si>
  <si>
    <t>Remark</t>
  </si>
  <si>
    <t>- Create new</t>
  </si>
  <si>
    <t>Revision</t>
  </si>
  <si>
    <t>Description</t>
  </si>
  <si>
    <t>: Rev0.1</t>
  </si>
  <si>
    <t>R0.1</t>
  </si>
  <si>
    <t>HISTORY</t>
  </si>
  <si>
    <t>Status</t>
  </si>
  <si>
    <t>Priority</t>
  </si>
  <si>
    <t>Done</t>
  </si>
  <si>
    <t xml:space="preserve">SUMMARY REPORT </t>
  </si>
  <si>
    <t>results from other sub sheets</t>
  </si>
  <si>
    <t>- This sheet is used to collect and summarize all</t>
  </si>
  <si>
    <t>Prj Duration</t>
  </si>
  <si>
    <t>Updated by</t>
  </si>
  <si>
    <t>Approval</t>
  </si>
  <si>
    <t>Questioner</t>
  </si>
  <si>
    <t>Question</t>
  </si>
  <si>
    <t>Answer</t>
  </si>
  <si>
    <t>Responden by</t>
  </si>
  <si>
    <t>Q&amp;A</t>
  </si>
  <si>
    <t>- The history is used for recording all modification of this document</t>
  </si>
  <si>
    <t>- Please update exactly info to review correctly in the future</t>
  </si>
  <si>
    <t>Attached File</t>
  </si>
  <si>
    <t>Close</t>
  </si>
  <si>
    <t>Open</t>
  </si>
  <si>
    <t>Suspend</t>
  </si>
  <si>
    <t>Note</t>
  </si>
  <si>
    <t>Assertion</t>
  </si>
  <si>
    <t>TESTLIST</t>
  </si>
  <si>
    <t>TESTPLAN</t>
  </si>
  <si>
    <t>Summary Result</t>
  </si>
  <si>
    <t>On Going</t>
  </si>
  <si>
    <t>Not yet</t>
  </si>
  <si>
    <t>-</t>
  </si>
  <si>
    <t>Reference section in specification</t>
  </si>
  <si>
    <t>EX:
1. Func 1</t>
  </si>
  <si>
    <t>Ex:
1. Func 1-1</t>
  </si>
  <si>
    <t>Ex:
2. Func 1-2</t>
  </si>
  <si>
    <t>Ex:
2. Func 2</t>
  </si>
  <si>
    <t>Ex:
1. Func 2-1</t>
  </si>
  <si>
    <t>Ex:
1. Func 2-1-1</t>
  </si>
  <si>
    <t>Section 2.1.1 in Design Specification</t>
  </si>
  <si>
    <t>Ex:
2. Func 2-1-2</t>
  </si>
  <si>
    <t>2. Func 2-2</t>
  </si>
  <si>
    <t>Ex:
1. Func 2-2-1</t>
  </si>
  <si>
    <t>Ex:
2. Func 2-2-2</t>
  </si>
  <si>
    <t>Classification 1</t>
  </si>
  <si>
    <t>Classification 2</t>
  </si>
  <si>
    <t>Classification 3</t>
  </si>
  <si>
    <t>Classification 4</t>
  </si>
  <si>
    <t>High</t>
  </si>
  <si>
    <t>Normal</t>
  </si>
  <si>
    <t>Low</t>
  </si>
  <si>
    <t>Function</t>
  </si>
  <si>
    <t>Confirm method</t>
  </si>
  <si>
    <t>No. of planned items</t>
  </si>
  <si>
    <t>No. of finished items</t>
  </si>
  <si>
    <t>Scenario name</t>
  </si>
  <si>
    <t>Finished date</t>
  </si>
  <si>
    <t>In charge person</t>
  </si>
  <si>
    <t>Fund. ID</t>
  </si>
  <si>
    <t>What is checked</t>
  </si>
  <si>
    <t>How to check</t>
  </si>
  <si>
    <t>F1.1</t>
  </si>
  <si>
    <t>User name</t>
  </si>
  <si>
    <t>F1.2</t>
  </si>
  <si>
    <t>Scoreboard</t>
  </si>
  <si>
    <t>F2.1.1</t>
  </si>
  <si>
    <t>Waveform</t>
  </si>
  <si>
    <t>F2.1.2</t>
  </si>
  <si>
    <t>Self-check TM</t>
  </si>
  <si>
    <t>F2.2.1</t>
  </si>
  <si>
    <t>Compare Expected.txt vs. Actual.txt</t>
  </si>
  <si>
    <t>F2.2.2</t>
  </si>
  <si>
    <t>Classification 1~4</t>
  </si>
  <si>
    <t>Classification 1: Func 1
Classification 2: Func 1-1
Classification 3: None
Classification 4: None</t>
  </si>
  <si>
    <t>Classification 1: Func 1
Classification 2: Func 1-2
Classification 3: None
Classification 4: None</t>
  </si>
  <si>
    <t>Classification 1: Func 2
Classification 2: Func 2-1
Classification 3: Func 2-1-1
Classification 4: None</t>
  </si>
  <si>
    <t>Classification 1: Func 2
Classification 2: Func 2-1
Classification 3: Func 2-1-2
Classification 4: None</t>
  </si>
  <si>
    <t>Classification 1: Func 2
Classification 2: Func 2-2
Classification 3: Func 2-2-1
Classification 4: None</t>
  </si>
  <si>
    <t>Classification 1: Func 2
Classification 2: Func 2-2
Classification 3: Func 2-2-2
Classification 4: None</t>
  </si>
  <si>
    <t>Prefix</t>
  </si>
  <si>
    <t>Definition</t>
  </si>
  <si>
    <t>Remarks</t>
  </si>
  <si>
    <t>'h/h'</t>
  </si>
  <si>
    <t>Hex numeral</t>
  </si>
  <si>
    <t>Ex: 'hFF</t>
  </si>
  <si>
    <t>'b/b'</t>
  </si>
  <si>
    <t>Binary numeral</t>
  </si>
  <si>
    <t>Ex: 'b1111_1111</t>
  </si>
  <si>
    <t>None</t>
  </si>
  <si>
    <t>Decimal</t>
  </si>
  <si>
    <t>Ex: 255</t>
  </si>
  <si>
    <t>Abbreviation</t>
  </si>
  <si>
    <t>H</t>
  </si>
  <si>
    <t>High Level</t>
  </si>
  <si>
    <t>L</t>
  </si>
  <si>
    <t>Low level</t>
  </si>
  <si>
    <t>ALL-H</t>
  </si>
  <si>
    <t>All bits are set to high</t>
  </si>
  <si>
    <t>ALL-L</t>
  </si>
  <si>
    <t>All bits are set to low</t>
  </si>
  <si>
    <t>Pol</t>
  </si>
  <si>
    <t>Polarity</t>
  </si>
  <si>
    <t>Classification</t>
  </si>
  <si>
    <t>Addr</t>
  </si>
  <si>
    <t>Address</t>
  </si>
  <si>
    <t>Register</t>
  </si>
  <si>
    <t>TM</t>
  </si>
  <si>
    <t>Test-scenario</t>
  </si>
  <si>
    <t>FCOV</t>
  </si>
  <si>
    <t>Functional Coverage</t>
  </si>
  <si>
    <t>ID</t>
  </si>
  <si>
    <t>Identifier</t>
  </si>
  <si>
    <t>Fund.ID</t>
  </si>
  <si>
    <t>Fundamental ID</t>
  </si>
  <si>
    <t>Items to be done up to 1st release of source code</t>
  </si>
  <si>
    <t>Items to be done up to source code Fix</t>
  </si>
  <si>
    <t>Items up to T.O</t>
  </si>
  <si>
    <t>DEFINITION LIST</t>
  </si>
  <si>
    <t>ENV revision</t>
  </si>
  <si>
    <t>* Guideline:</t>
  </si>
  <si>
    <t xml:space="preserve"> - Use symbols/lines in Flowchart/Lines group in tab Insert&gt;Shapes</t>
  </si>
  <si>
    <t>Ex:</t>
  </si>
  <si>
    <t xml:space="preserve"> - Do not use backgound color in box</t>
  </si>
  <si>
    <t xml:space="preserve"> - Use keyword "START/END/HALT" for terminator</t>
  </si>
  <si>
    <t>Common flow chart symbols:</t>
  </si>
  <si>
    <t>Example:</t>
  </si>
  <si>
    <t>SCENARIO FLOW</t>
  </si>
  <si>
    <t xml:space="preserve">: </t>
  </si>
  <si>
    <t>Table D_1-3: Priority</t>
  </si>
  <si>
    <t>Table D_1-2: Abbreviation</t>
  </si>
  <si>
    <t>Table D_1-1: Numeral</t>
  </si>
  <si>
    <t>Property</t>
  </si>
  <si>
    <t>Remain</t>
  </si>
  <si>
    <t>Hoa Vo</t>
  </si>
  <si>
    <t>1. Flow of "Scenario_name"</t>
  </si>
  <si>
    <t>assertion/cover/proterty name</t>
  </si>
  <si>
    <t>Check item</t>
  </si>
  <si>
    <t>Check signal</t>
  </si>
  <si>
    <t>Items</t>
  </si>
  <si>
    <t>p_connected</t>
  </si>
  <si>
    <t>Connection</t>
  </si>
  <si>
    <t>Interface A</t>
  </si>
  <si>
    <t>SIGNAL_NAME_A1</t>
  </si>
  <si>
    <t>SIGNAL_NAME_A0</t>
  </si>
  <si>
    <t>pusle</t>
  </si>
  <si>
    <t>Ex: Check SIGNAL_NAME_A1 is fell when it is high.</t>
  </si>
  <si>
    <t>p_pulse</t>
  </si>
  <si>
    <t>Ex: Check connection of SIGNAL_NAME_A0 from top module to sub-module.</t>
  </si>
  <si>
    <t>Interface B</t>
  </si>
  <si>
    <t>SVA_{MODULE_NAME}_{SIGNAL_NAME_A0}_{CHECK_ITEM}_{Func_ID}</t>
  </si>
  <si>
    <t>SVA_{MODULE_NAME}_{SIGNAL_NAME_A1}_{CHECK_ITEM}_{Func_ID}</t>
  </si>
  <si>
    <t>SVA List</t>
  </si>
  <si>
    <r>
      <rPr>
        <sz val="10"/>
        <color rgb="FFFF0000"/>
        <rFont val="Arial"/>
        <family val="2"/>
        <scheme val="minor"/>
      </rPr>
      <t>tc</t>
    </r>
    <r>
      <rPr>
        <sz val="10"/>
        <color theme="1"/>
        <rFont val="Arial"/>
        <family val="2"/>
        <scheme val="minor"/>
      </rPr>
      <t>_{</t>
    </r>
    <r>
      <rPr>
        <sz val="10"/>
        <color rgb="FFFF0000"/>
        <rFont val="Arial"/>
        <family val="2"/>
        <scheme val="minor"/>
      </rPr>
      <t>MODULE_NAME</t>
    </r>
    <r>
      <rPr>
        <sz val="10"/>
        <color theme="1"/>
        <rFont val="Arial"/>
        <family val="2"/>
        <scheme val="minor"/>
      </rPr>
      <t>}_{</t>
    </r>
    <r>
      <rPr>
        <sz val="10"/>
        <color rgb="FFFF0000"/>
        <rFont val="Arial"/>
        <family val="2"/>
        <scheme val="minor"/>
      </rPr>
      <t>FUNCTION</t>
    </r>
    <r>
      <rPr>
        <sz val="10"/>
        <color theme="1"/>
        <rFont val="Arial"/>
        <family val="2"/>
        <scheme val="minor"/>
      </rPr>
      <t>}_{</t>
    </r>
    <r>
      <rPr>
        <sz val="10"/>
        <color rgb="FFFF0000"/>
        <rFont val="Arial"/>
        <family val="2"/>
        <scheme val="minor"/>
      </rPr>
      <t>ID</t>
    </r>
    <r>
      <rPr>
        <sz val="10"/>
        <color theme="1"/>
        <rFont val="Arial"/>
        <family val="2"/>
        <scheme val="minor"/>
      </rPr>
      <t>}</t>
    </r>
  </si>
  <si>
    <t>Section 1.1.2 in Design Specification</t>
  </si>
  <si>
    <t>Section 1.1.1 in Design Specification</t>
  </si>
  <si>
    <t>REG</t>
  </si>
  <si>
    <t>Ex:
OBJECTIVE: Check CSR value
DETAILS:  
  + Check default value all REG1 register, Write/Read REG1 registers.
  + Writt to REG1 registers then read and compare.
PASS CRITERIA: No error.</t>
  </si>
  <si>
    <t>IP_NAME VERIFICATION CHECKLIST</t>
  </si>
  <si>
    <t>Started date</t>
  </si>
  <si>
    <t>Post-simulation</t>
  </si>
  <si>
    <t>RTL</t>
  </si>
  <si>
    <t>Pre-simulation</t>
  </si>
  <si>
    <t>*You also put the Timming chart of this scenarios here</t>
  </si>
  <si>
    <t>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</si>
</sst>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\-mmm\-yy;@"/>
  </numFmts>
  <fonts count="47">
    <font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8"/>
      <color theme="0"/>
      <name val="Yu Gothic"/>
      <family val="2"/>
    </font>
    <font>
      <sz val="11"/>
      <color theme="1"/>
      <name val="Yu Gothic"/>
      <family val="2"/>
    </font>
    <font>
      <i/>
      <u/>
      <sz val="11"/>
      <color theme="1"/>
      <name val="Yu Gothic"/>
      <family val="2"/>
    </font>
    <font>
      <sz val="9"/>
      <color theme="0"/>
      <name val="Yu Gothic"/>
      <family val="2"/>
    </font>
    <font>
      <sz val="9"/>
      <color theme="1"/>
      <name val="Yu Gothic"/>
      <family val="2"/>
    </font>
    <font>
      <b/>
      <sz val="9"/>
      <color rgb="FF00B050"/>
      <name val="Yu Gothic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Arial"/>
      <family val="2"/>
      <scheme val="minor"/>
    </font>
    <font>
      <sz val="14"/>
      <color theme="1"/>
      <name val="Yu Gothic"/>
      <family val="2"/>
    </font>
    <font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10"/>
      <name val="Arial"/>
      <family val="2"/>
      <scheme val="minor"/>
    </font>
    <font>
      <sz val="11"/>
      <name val="ＭＳ Ｐゴシック"/>
      <family val="3"/>
      <charset val="128"/>
    </font>
    <font>
      <b/>
      <u/>
      <sz val="10"/>
      <color theme="1"/>
      <name val="Arial"/>
      <family val="2"/>
      <scheme val="minor"/>
    </font>
    <font>
      <sz val="10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0"/>
      <color rgb="FF000000"/>
      <name val="Calibri"/>
      <family val="2"/>
      <charset val="1"/>
    </font>
    <font>
      <u/>
      <sz val="11"/>
      <color theme="10"/>
      <name val="Arial"/>
      <family val="3"/>
      <charset val="128"/>
      <scheme val="minor"/>
    </font>
    <font>
      <sz val="11"/>
      <color theme="1"/>
      <name val="Arial"/>
      <family val="3"/>
      <charset val="128"/>
      <scheme val="minor"/>
    </font>
    <font>
      <sz val="10"/>
      <color theme="1"/>
      <name val="Arial"/>
      <family val="3"/>
      <charset val="128"/>
      <scheme val="minor"/>
    </font>
    <font>
      <b/>
      <sz val="10"/>
      <color theme="1"/>
      <name val="Arial"/>
      <family val="3"/>
      <charset val="128"/>
      <scheme val="minor"/>
    </font>
    <font>
      <b/>
      <u/>
      <sz val="10"/>
      <color theme="1"/>
      <name val="Arial"/>
      <family val="3"/>
      <charset val="128"/>
      <scheme val="minor"/>
    </font>
    <font>
      <b/>
      <i/>
      <u/>
      <sz val="10"/>
      <color theme="1"/>
      <name val="Arial"/>
      <family val="3"/>
      <charset val="128"/>
      <scheme val="minor"/>
    </font>
    <font>
      <sz val="10"/>
      <color rgb="FFFF0000"/>
      <name val="Arial"/>
      <family val="3"/>
      <charset val="128"/>
      <scheme val="minor"/>
    </font>
    <font>
      <sz val="10"/>
      <name val="Arial"/>
      <family val="3"/>
      <charset val="128"/>
      <scheme val="minor"/>
    </font>
    <font>
      <b/>
      <sz val="10"/>
      <name val="Arial"/>
      <family val="3"/>
      <charset val="128"/>
      <scheme val="minor"/>
    </font>
    <font>
      <sz val="11"/>
      <color rgb="FF0309ED"/>
      <name val="Arial"/>
      <family val="3"/>
      <charset val="128"/>
      <scheme val="minor"/>
    </font>
    <font>
      <b/>
      <sz val="10"/>
      <color rgb="FFFF0000"/>
      <name val="Arial"/>
      <family val="3"/>
      <charset val="128"/>
      <scheme val="minor"/>
    </font>
    <font>
      <sz val="10"/>
      <color theme="0"/>
      <name val="Arial"/>
      <family val="2"/>
      <scheme val="minor"/>
    </font>
    <font>
      <b/>
      <sz val="18"/>
      <color theme="0"/>
      <name val="Arial"/>
      <family val="2"/>
      <scheme val="minor"/>
    </font>
    <font>
      <b/>
      <sz val="10"/>
      <name val="Arial"/>
      <family val="2"/>
      <scheme val="minor"/>
    </font>
    <font>
      <sz val="9"/>
      <color theme="1"/>
      <name val="Arial"/>
      <family val="2"/>
      <scheme val="minor"/>
    </font>
    <font>
      <b/>
      <i/>
      <u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22"/>
      <color theme="0"/>
      <name val="Arial"/>
      <family val="2"/>
      <scheme val="minor"/>
    </font>
    <font>
      <i/>
      <sz val="14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u/>
      <sz val="18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22"/>
      <color rgb="FFFF0000"/>
      <name val="Arial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0" borderId="0"/>
    <xf numFmtId="0" fontId="9" fillId="0" borderId="0"/>
    <xf numFmtId="0" fontId="13" fillId="0" borderId="0" applyNumberFormat="0" applyFill="0" applyBorder="0" applyAlignment="0" applyProtection="0"/>
    <xf numFmtId="164" fontId="13" fillId="0" borderId="0" applyNumberFormat="0" applyFill="0" applyBorder="0" applyAlignment="0" applyProtection="0"/>
    <xf numFmtId="164" fontId="12" fillId="0" borderId="0"/>
    <xf numFmtId="164" fontId="16" fillId="0" borderId="0"/>
    <xf numFmtId="164" fontId="16" fillId="0" borderId="0"/>
    <xf numFmtId="164" fontId="16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/>
    <xf numFmtId="0" fontId="16" fillId="0" borderId="0"/>
  </cellStyleXfs>
  <cellXfs count="15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Alignment="1">
      <alignment vertical="top"/>
    </xf>
    <xf numFmtId="0" fontId="1" fillId="0" borderId="6" xfId="0" applyFont="1" applyBorder="1" applyAlignment="1">
      <alignment vertical="top"/>
    </xf>
    <xf numFmtId="0" fontId="3" fillId="0" borderId="0" xfId="0" applyFont="1"/>
    <xf numFmtId="0" fontId="4" fillId="0" borderId="0" xfId="0" applyFont="1"/>
    <xf numFmtId="0" fontId="6" fillId="0" borderId="1" xfId="0" applyFont="1" applyBorder="1"/>
    <xf numFmtId="0" fontId="6" fillId="0" borderId="0" xfId="0" applyFont="1"/>
    <xf numFmtId="0" fontId="3" fillId="0" borderId="19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7" xfId="0" applyFont="1" applyBorder="1"/>
    <xf numFmtId="0" fontId="3" fillId="0" borderId="11" xfId="0" applyFont="1" applyBorder="1"/>
    <xf numFmtId="0" fontId="2" fillId="2" borderId="0" xfId="0" applyFont="1" applyFill="1"/>
    <xf numFmtId="0" fontId="5" fillId="2" borderId="1" xfId="0" applyFont="1" applyFill="1" applyBorder="1" applyAlignment="1">
      <alignment horizontal="center" vertical="center"/>
    </xf>
    <xf numFmtId="0" fontId="8" fillId="0" borderId="0" xfId="1"/>
    <xf numFmtId="0" fontId="9" fillId="0" borderId="0" xfId="2" applyAlignment="1">
      <alignment vertical="center"/>
    </xf>
    <xf numFmtId="0" fontId="9" fillId="0" borderId="0" xfId="2"/>
    <xf numFmtId="0" fontId="7" fillId="0" borderId="0" xfId="0" applyFont="1"/>
    <xf numFmtId="0" fontId="11" fillId="0" borderId="0" xfId="0" applyFont="1" applyAlignment="1">
      <alignment vertical="top"/>
    </xf>
    <xf numFmtId="164" fontId="14" fillId="0" borderId="0" xfId="5" applyFont="1" applyAlignment="1">
      <alignment horizontal="left"/>
    </xf>
    <xf numFmtId="164" fontId="15" fillId="0" borderId="0" xfId="4" applyFont="1" applyFill="1" applyAlignment="1">
      <alignment horizontal="left"/>
    </xf>
    <xf numFmtId="164" fontId="17" fillId="0" borderId="0" xfId="6" applyFont="1" applyAlignment="1">
      <alignment vertical="center"/>
    </xf>
    <xf numFmtId="164" fontId="18" fillId="0" borderId="0" xfId="7" applyFont="1" applyAlignment="1">
      <alignment horizontal="left" vertical="top" wrapText="1"/>
    </xf>
    <xf numFmtId="164" fontId="14" fillId="0" borderId="0" xfId="5" applyFont="1" applyAlignment="1">
      <alignment horizontal="left" vertical="center" wrapText="1"/>
    </xf>
    <xf numFmtId="164" fontId="14" fillId="0" borderId="0" xfId="5" applyFont="1" applyAlignment="1">
      <alignment horizontal="left" vertical="top" wrapText="1"/>
    </xf>
    <xf numFmtId="164" fontId="14" fillId="0" borderId="23" xfId="5" applyFont="1" applyBorder="1" applyAlignment="1">
      <alignment horizontal="left" vertical="top" wrapText="1"/>
    </xf>
    <xf numFmtId="164" fontId="14" fillId="0" borderId="10" xfId="5" applyFont="1" applyBorder="1" applyAlignment="1">
      <alignment horizontal="left" vertical="top" wrapText="1"/>
    </xf>
    <xf numFmtId="164" fontId="14" fillId="0" borderId="1" xfId="5" applyFont="1" applyBorder="1" applyAlignment="1">
      <alignment vertical="top" wrapText="1"/>
    </xf>
    <xf numFmtId="164" fontId="14" fillId="0" borderId="1" xfId="5" applyFont="1" applyBorder="1" applyAlignment="1">
      <alignment horizontal="left" vertical="top" wrapText="1"/>
    </xf>
    <xf numFmtId="164" fontId="14" fillId="0" borderId="24" xfId="5" applyFont="1" applyBorder="1" applyAlignment="1">
      <alignment horizontal="left" vertical="top" wrapText="1"/>
    </xf>
    <xf numFmtId="164" fontId="14" fillId="0" borderId="25" xfId="5" applyFont="1" applyBorder="1" applyAlignment="1">
      <alignment horizontal="left" vertical="top" wrapText="1"/>
    </xf>
    <xf numFmtId="164" fontId="18" fillId="0" borderId="1" xfId="5" applyFont="1" applyBorder="1" applyAlignment="1">
      <alignment horizontal="left" vertical="top" wrapText="1"/>
    </xf>
    <xf numFmtId="164" fontId="14" fillId="0" borderId="0" xfId="5" applyFont="1" applyAlignment="1">
      <alignment horizontal="left" vertical="top"/>
    </xf>
    <xf numFmtId="3" fontId="14" fillId="0" borderId="0" xfId="5" applyNumberFormat="1" applyFont="1" applyAlignment="1">
      <alignment horizontal="left" vertical="top"/>
    </xf>
    <xf numFmtId="3" fontId="14" fillId="0" borderId="0" xfId="5" applyNumberFormat="1" applyFont="1" applyAlignment="1">
      <alignment horizontal="right" vertical="top"/>
    </xf>
    <xf numFmtId="164" fontId="21" fillId="0" borderId="0" xfId="5" applyFont="1"/>
    <xf numFmtId="164" fontId="19" fillId="6" borderId="1" xfId="5" applyFont="1" applyFill="1" applyBorder="1" applyAlignment="1">
      <alignment horizontal="left" vertical="top"/>
    </xf>
    <xf numFmtId="164" fontId="19" fillId="6" borderId="1" xfId="5" applyFont="1" applyFill="1" applyBorder="1" applyAlignment="1">
      <alignment horizontal="left" vertical="top" wrapText="1"/>
    </xf>
    <xf numFmtId="3" fontId="19" fillId="6" borderId="1" xfId="5" quotePrefix="1" applyNumberFormat="1" applyFont="1" applyFill="1" applyBorder="1" applyAlignment="1">
      <alignment horizontal="left" vertical="top" wrapText="1"/>
    </xf>
    <xf numFmtId="3" fontId="19" fillId="6" borderId="1" xfId="5" applyNumberFormat="1" applyFont="1" applyFill="1" applyBorder="1" applyAlignment="1">
      <alignment horizontal="right" vertical="top" wrapText="1"/>
    </xf>
    <xf numFmtId="3" fontId="19" fillId="6" borderId="1" xfId="5" applyNumberFormat="1" applyFont="1" applyFill="1" applyBorder="1" applyAlignment="1">
      <alignment horizontal="left" vertical="top" wrapText="1"/>
    </xf>
    <xf numFmtId="3" fontId="14" fillId="0" borderId="1" xfId="5" applyNumberFormat="1" applyFont="1" applyBorder="1" applyAlignment="1">
      <alignment horizontal="left" vertical="top" wrapText="1"/>
    </xf>
    <xf numFmtId="3" fontId="14" fillId="0" borderId="1" xfId="5" applyNumberFormat="1" applyFont="1" applyBorder="1" applyAlignment="1">
      <alignment horizontal="right" vertical="top" wrapText="1"/>
    </xf>
    <xf numFmtId="3" fontId="14" fillId="5" borderId="1" xfId="5" applyNumberFormat="1" applyFont="1" applyFill="1" applyBorder="1" applyAlignment="1">
      <alignment horizontal="right" vertical="top" wrapText="1"/>
    </xf>
    <xf numFmtId="3" fontId="14" fillId="5" borderId="1" xfId="5" applyNumberFormat="1" applyFont="1" applyFill="1" applyBorder="1" applyAlignment="1">
      <alignment horizontal="left" vertical="top" wrapText="1"/>
    </xf>
    <xf numFmtId="164" fontId="14" fillId="0" borderId="0" xfId="5" applyFont="1" applyAlignment="1">
      <alignment vertical="center"/>
    </xf>
    <xf numFmtId="164" fontId="18" fillId="0" borderId="0" xfId="8" applyFont="1" applyAlignment="1">
      <alignment vertical="center" wrapText="1"/>
    </xf>
    <xf numFmtId="164" fontId="18" fillId="0" borderId="0" xfId="8" applyFont="1">
      <alignment vertical="center"/>
    </xf>
    <xf numFmtId="0" fontId="2" fillId="0" borderId="0" xfId="0" applyFont="1"/>
    <xf numFmtId="0" fontId="14" fillId="0" borderId="1" xfId="0" applyFont="1" applyBorder="1" applyAlignment="1">
      <alignment horizontal="left" vertical="top"/>
    </xf>
    <xf numFmtId="0" fontId="25" fillId="0" borderId="0" xfId="10" applyFont="1" applyAlignment="1">
      <alignment vertical="top"/>
    </xf>
    <xf numFmtId="0" fontId="24" fillId="0" borderId="0" xfId="10" applyFont="1" applyAlignment="1">
      <alignment horizontal="left"/>
    </xf>
    <xf numFmtId="0" fontId="25" fillId="0" borderId="0" xfId="10" quotePrefix="1" applyFont="1" applyAlignment="1">
      <alignment vertical="top"/>
    </xf>
    <xf numFmtId="0" fontId="25" fillId="0" borderId="0" xfId="10" applyFont="1" applyAlignment="1">
      <alignment horizontal="left" vertical="top"/>
    </xf>
    <xf numFmtId="0" fontId="26" fillId="0" borderId="0" xfId="11" applyFont="1" applyAlignment="1">
      <alignment vertical="top"/>
    </xf>
    <xf numFmtId="0" fontId="27" fillId="0" borderId="0" xfId="10" applyFont="1" applyAlignment="1">
      <alignment horizontal="left" vertical="top"/>
    </xf>
    <xf numFmtId="0" fontId="24" fillId="0" borderId="0" xfId="10" applyFont="1" applyAlignment="1">
      <alignment vertical="top"/>
    </xf>
    <xf numFmtId="0" fontId="28" fillId="0" borderId="0" xfId="10" applyFont="1" applyAlignment="1">
      <alignment horizontal="left"/>
    </xf>
    <xf numFmtId="0" fontId="24" fillId="0" borderId="0" xfId="10" quotePrefix="1" applyFont="1" applyAlignment="1">
      <alignment horizontal="left"/>
    </xf>
    <xf numFmtId="0" fontId="28" fillId="0" borderId="0" xfId="10" quotePrefix="1" applyFont="1" applyAlignment="1">
      <alignment horizontal="left"/>
    </xf>
    <xf numFmtId="0" fontId="25" fillId="0" borderId="0" xfId="10" applyFont="1" applyAlignment="1">
      <alignment horizontal="left"/>
    </xf>
    <xf numFmtId="0" fontId="28" fillId="0" borderId="0" xfId="10" quotePrefix="1" applyFont="1" applyAlignment="1">
      <alignment horizontal="left" indent="1"/>
    </xf>
    <xf numFmtId="0" fontId="29" fillId="0" borderId="0" xfId="10" applyFont="1" applyAlignment="1">
      <alignment horizontal="left" indent="2"/>
    </xf>
    <xf numFmtId="0" fontId="30" fillId="0" borderId="0" xfId="10" applyFont="1" applyAlignment="1">
      <alignment horizontal="left"/>
    </xf>
    <xf numFmtId="0" fontId="29" fillId="0" borderId="0" xfId="10" applyFont="1" applyAlignment="1">
      <alignment horizontal="left" indent="1"/>
    </xf>
    <xf numFmtId="0" fontId="31" fillId="0" borderId="0" xfId="10" applyFont="1" applyAlignment="1">
      <alignment horizontal="center"/>
    </xf>
    <xf numFmtId="0" fontId="31" fillId="0" borderId="0" xfId="10" applyFont="1"/>
    <xf numFmtId="0" fontId="32" fillId="0" borderId="0" xfId="10" applyFont="1" applyAlignment="1">
      <alignment horizontal="left"/>
    </xf>
    <xf numFmtId="0" fontId="24" fillId="0" borderId="0" xfId="10" quotePrefix="1" applyFont="1" applyAlignment="1">
      <alignment horizontal="left" indent="1"/>
    </xf>
    <xf numFmtId="0" fontId="24" fillId="0" borderId="0" xfId="10" quotePrefix="1" applyFont="1" applyAlignment="1">
      <alignment horizontal="left" indent="2"/>
    </xf>
    <xf numFmtId="0" fontId="24" fillId="0" borderId="0" xfId="10" applyFont="1" applyAlignment="1">
      <alignment horizontal="left" indent="3"/>
    </xf>
    <xf numFmtId="0" fontId="14" fillId="0" borderId="0" xfId="3" applyFont="1" applyFill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7" fillId="0" borderId="0" xfId="11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14" fillId="0" borderId="1" xfId="0" applyFont="1" applyBorder="1" applyAlignment="1">
      <alignment horizontal="left" vertical="top" wrapText="1"/>
    </xf>
    <xf numFmtId="0" fontId="34" fillId="2" borderId="0" xfId="0" applyFont="1" applyFill="1"/>
    <xf numFmtId="164" fontId="35" fillId="0" borderId="0" xfId="8" applyFont="1">
      <alignment vertical="center"/>
    </xf>
    <xf numFmtId="164" fontId="18" fillId="0" borderId="0" xfId="5" applyFont="1" applyAlignment="1">
      <alignment vertical="center"/>
    </xf>
    <xf numFmtId="164" fontId="35" fillId="0" borderId="1" xfId="5" quotePrefix="1" applyFont="1" applyBorder="1" applyAlignment="1">
      <alignment vertical="center"/>
    </xf>
    <xf numFmtId="164" fontId="18" fillId="0" borderId="12" xfId="5" applyFont="1" applyBorder="1" applyAlignment="1">
      <alignment vertical="center"/>
    </xf>
    <xf numFmtId="164" fontId="18" fillId="0" borderId="1" xfId="5" applyFont="1" applyBorder="1" applyAlignment="1">
      <alignment horizontal="left" vertical="center" wrapText="1"/>
    </xf>
    <xf numFmtId="164" fontId="35" fillId="7" borderId="1" xfId="5" applyFont="1" applyFill="1" applyBorder="1" applyAlignment="1">
      <alignment vertical="center"/>
    </xf>
    <xf numFmtId="164" fontId="35" fillId="0" borderId="1" xfId="5" applyFont="1" applyBorder="1" applyAlignment="1">
      <alignment vertical="center"/>
    </xf>
    <xf numFmtId="164" fontId="18" fillId="0" borderId="12" xfId="5" applyFont="1" applyBorder="1" applyAlignment="1">
      <alignment vertical="center" wrapText="1"/>
    </xf>
    <xf numFmtId="0" fontId="34" fillId="0" borderId="0" xfId="0" applyFont="1" applyAlignment="1">
      <alignment horizontal="left"/>
    </xf>
    <xf numFmtId="0" fontId="36" fillId="0" borderId="19" xfId="0" applyFont="1" applyBorder="1"/>
    <xf numFmtId="0" fontId="36" fillId="0" borderId="13" xfId="0" applyFont="1" applyBorder="1"/>
    <xf numFmtId="0" fontId="36" fillId="0" borderId="0" xfId="0" applyFont="1"/>
    <xf numFmtId="0" fontId="36" fillId="0" borderId="14" xfId="0" applyFont="1" applyBorder="1"/>
    <xf numFmtId="0" fontId="36" fillId="0" borderId="17" xfId="0" applyFont="1" applyBorder="1"/>
    <xf numFmtId="0" fontId="36" fillId="0" borderId="11" xfId="0" applyFont="1" applyBorder="1"/>
    <xf numFmtId="0" fontId="36" fillId="0" borderId="1" xfId="0" applyFont="1" applyBorder="1" applyAlignment="1">
      <alignment horizontal="center"/>
    </xf>
    <xf numFmtId="0" fontId="36" fillId="0" borderId="1" xfId="0" applyFont="1" applyBorder="1"/>
    <xf numFmtId="14" fontId="36" fillId="0" borderId="1" xfId="0" applyNumberFormat="1" applyFont="1" applyBorder="1"/>
    <xf numFmtId="0" fontId="37" fillId="0" borderId="18" xfId="0" applyFont="1" applyBorder="1"/>
    <xf numFmtId="0" fontId="14" fillId="0" borderId="15" xfId="0" quotePrefix="1" applyFont="1" applyBorder="1"/>
    <xf numFmtId="0" fontId="14" fillId="0" borderId="16" xfId="0" quotePrefix="1" applyFont="1" applyBorder="1"/>
    <xf numFmtId="0" fontId="38" fillId="2" borderId="1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14" fontId="14" fillId="0" borderId="1" xfId="0" applyNumberFormat="1" applyFont="1" applyBorder="1" applyAlignment="1">
      <alignment horizontal="center"/>
    </xf>
    <xf numFmtId="0" fontId="14" fillId="0" borderId="1" xfId="0" quotePrefix="1" applyFont="1" applyBorder="1"/>
    <xf numFmtId="0" fontId="14" fillId="0" borderId="1" xfId="0" applyFont="1" applyBorder="1"/>
    <xf numFmtId="0" fontId="40" fillId="0" borderId="0" xfId="0" applyFont="1" applyAlignment="1">
      <alignment vertical="top"/>
    </xf>
    <xf numFmtId="0" fontId="41" fillId="0" borderId="0" xfId="0" applyFont="1" applyAlignment="1">
      <alignment vertical="top"/>
    </xf>
    <xf numFmtId="0" fontId="14" fillId="0" borderId="15" xfId="0" applyFont="1" applyBorder="1"/>
    <xf numFmtId="0" fontId="44" fillId="0" borderId="0" xfId="0" applyFont="1"/>
    <xf numFmtId="0" fontId="33" fillId="2" borderId="1" xfId="0" applyFont="1" applyFill="1" applyBorder="1" applyAlignment="1">
      <alignment horizontal="center"/>
    </xf>
    <xf numFmtId="0" fontId="33" fillId="2" borderId="1" xfId="0" applyFont="1" applyFill="1" applyBorder="1" applyAlignment="1">
      <alignment horizontal="center" vertical="center"/>
    </xf>
    <xf numFmtId="0" fontId="33" fillId="2" borderId="22" xfId="0" applyFont="1" applyFill="1" applyBorder="1" applyAlignment="1">
      <alignment horizontal="center" vertical="center"/>
    </xf>
    <xf numFmtId="0" fontId="45" fillId="4" borderId="1" xfId="0" applyFont="1" applyFill="1" applyBorder="1" applyAlignment="1">
      <alignment horizontal="center"/>
    </xf>
    <xf numFmtId="0" fontId="45" fillId="4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left" vertical="top"/>
    </xf>
    <xf numFmtId="0" fontId="33" fillId="2" borderId="1" xfId="0" applyFont="1" applyFill="1" applyBorder="1" applyAlignment="1">
      <alignment horizontal="left" vertical="top" wrapText="1"/>
    </xf>
    <xf numFmtId="164" fontId="38" fillId="2" borderId="23" xfId="5" applyFont="1" applyFill="1" applyBorder="1" applyAlignment="1">
      <alignment horizontal="left" vertical="center"/>
    </xf>
    <xf numFmtId="164" fontId="38" fillId="2" borderId="1" xfId="5" applyFont="1" applyFill="1" applyBorder="1" applyAlignment="1">
      <alignment horizontal="left" vertical="center"/>
    </xf>
    <xf numFmtId="164" fontId="38" fillId="2" borderId="1" xfId="5" applyFont="1" applyFill="1" applyBorder="1" applyAlignment="1">
      <alignment vertical="center"/>
    </xf>
    <xf numFmtId="164" fontId="38" fillId="2" borderId="12" xfId="5" applyFont="1" applyFill="1" applyBorder="1" applyAlignment="1">
      <alignment vertical="center"/>
    </xf>
    <xf numFmtId="0" fontId="33" fillId="2" borderId="12" xfId="0" applyFont="1" applyFill="1" applyBorder="1" applyAlignment="1">
      <alignment vertical="top"/>
    </xf>
    <xf numFmtId="0" fontId="33" fillId="2" borderId="10" xfId="0" applyFont="1" applyFill="1" applyBorder="1" applyAlignment="1">
      <alignment vertical="top"/>
    </xf>
    <xf numFmtId="0" fontId="20" fillId="0" borderId="1" xfId="0" applyFont="1" applyBorder="1" applyAlignment="1">
      <alignment horizontal="left" vertical="top"/>
    </xf>
    <xf numFmtId="0" fontId="14" fillId="0" borderId="1" xfId="0" applyFont="1" applyBorder="1" applyAlignment="1">
      <alignment vertical="top"/>
    </xf>
    <xf numFmtId="0" fontId="46" fillId="0" borderId="0" xfId="10" applyFont="1" applyAlignment="1">
      <alignment horizontal="left"/>
    </xf>
    <xf numFmtId="0" fontId="33" fillId="2" borderId="14" xfId="0" applyFont="1" applyFill="1" applyBorder="1" applyAlignment="1">
      <alignment horizontal="center" vertical="center"/>
    </xf>
    <xf numFmtId="3" fontId="45" fillId="4" borderId="1" xfId="0" applyNumberFormat="1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left"/>
    </xf>
    <xf numFmtId="0" fontId="38" fillId="3" borderId="20" xfId="0" applyFont="1" applyFill="1" applyBorder="1" applyAlignment="1">
      <alignment horizontal="center" vertical="center"/>
    </xf>
    <xf numFmtId="0" fontId="38" fillId="3" borderId="21" xfId="0" applyFont="1" applyFill="1" applyBorder="1" applyAlignment="1">
      <alignment horizontal="center" vertical="center"/>
    </xf>
    <xf numFmtId="3" fontId="14" fillId="8" borderId="1" xfId="5" applyNumberFormat="1" applyFont="1" applyFill="1" applyBorder="1" applyAlignment="1">
      <alignment horizontal="center" vertical="top"/>
    </xf>
    <xf numFmtId="3" fontId="14" fillId="10" borderId="1" xfId="5" applyNumberFormat="1" applyFont="1" applyFill="1" applyBorder="1" applyAlignment="1">
      <alignment horizontal="center" vertical="top"/>
    </xf>
    <xf numFmtId="3" fontId="33" fillId="2" borderId="23" xfId="5" applyNumberFormat="1" applyFont="1" applyFill="1" applyBorder="1" applyAlignment="1">
      <alignment horizontal="left" vertical="top" wrapText="1"/>
    </xf>
    <xf numFmtId="3" fontId="33" fillId="2" borderId="24" xfId="5" applyNumberFormat="1" applyFont="1" applyFill="1" applyBorder="1" applyAlignment="1">
      <alignment horizontal="left" vertical="top" wrapText="1"/>
    </xf>
    <xf numFmtId="3" fontId="33" fillId="2" borderId="1" xfId="5" applyNumberFormat="1" applyFont="1" applyFill="1" applyBorder="1" applyAlignment="1">
      <alignment horizontal="left" vertical="top" wrapText="1"/>
    </xf>
    <xf numFmtId="0" fontId="2" fillId="2" borderId="0" xfId="0" applyFont="1" applyFill="1" applyAlignment="1">
      <alignment horizontal="left"/>
    </xf>
    <xf numFmtId="164" fontId="33" fillId="2" borderId="18" xfId="5" applyFont="1" applyFill="1" applyBorder="1" applyAlignment="1">
      <alignment horizontal="left" vertical="top"/>
    </xf>
    <xf numFmtId="164" fontId="33" fillId="2" borderId="13" xfId="5" applyFont="1" applyFill="1" applyBorder="1" applyAlignment="1">
      <alignment horizontal="left" vertical="top"/>
    </xf>
    <xf numFmtId="164" fontId="33" fillId="2" borderId="16" xfId="5" applyFont="1" applyFill="1" applyBorder="1" applyAlignment="1">
      <alignment horizontal="left" vertical="top"/>
    </xf>
    <xf numFmtId="164" fontId="33" fillId="2" borderId="11" xfId="5" applyFont="1" applyFill="1" applyBorder="1" applyAlignment="1">
      <alignment horizontal="left" vertical="top"/>
    </xf>
    <xf numFmtId="3" fontId="33" fillId="2" borderId="1" xfId="5" applyNumberFormat="1" applyFont="1" applyFill="1" applyBorder="1" applyAlignment="1">
      <alignment horizontal="center" vertical="top" wrapText="1"/>
    </xf>
    <xf numFmtId="3" fontId="14" fillId="9" borderId="12" xfId="5" applyNumberFormat="1" applyFont="1" applyFill="1" applyBorder="1" applyAlignment="1">
      <alignment horizontal="center" vertical="top"/>
    </xf>
    <xf numFmtId="3" fontId="14" fillId="9" borderId="26" xfId="5" applyNumberFormat="1" applyFont="1" applyFill="1" applyBorder="1" applyAlignment="1">
      <alignment horizontal="center" vertical="top"/>
    </xf>
    <xf numFmtId="3" fontId="14" fillId="9" borderId="10" xfId="5" applyNumberFormat="1" applyFont="1" applyFill="1" applyBorder="1" applyAlignment="1">
      <alignment horizontal="center" vertical="top"/>
    </xf>
    <xf numFmtId="0" fontId="14" fillId="0" borderId="23" xfId="0" applyFont="1" applyBorder="1" applyAlignment="1">
      <alignment horizontal="left" vertical="center"/>
    </xf>
    <xf numFmtId="0" fontId="14" fillId="0" borderId="25" xfId="0" applyFont="1" applyBorder="1" applyAlignment="1">
      <alignment horizontal="left" vertical="center"/>
    </xf>
    <xf numFmtId="0" fontId="14" fillId="0" borderId="24" xfId="0" applyFont="1" applyBorder="1" applyAlignment="1">
      <alignment horizontal="left" vertical="center"/>
    </xf>
  </cellXfs>
  <cellStyles count="12">
    <cellStyle name="Hyperlink" xfId="3" builtinId="8"/>
    <cellStyle name="Hyperlink 2" xfId="4" xr:uid="{C6492B0A-D382-4F6F-8794-74646150D788}"/>
    <cellStyle name="Hyperlink 3" xfId="9" xr:uid="{38B21F06-0ABA-46F7-AEA3-930DEE0412D4}"/>
    <cellStyle name="Normal" xfId="0" builtinId="0"/>
    <cellStyle name="Normal 2" xfId="1" xr:uid="{00000000-0005-0000-0000-000001000000}"/>
    <cellStyle name="Normal 3" xfId="2" xr:uid="{00000000-0005-0000-0000-000002000000}"/>
    <cellStyle name="Normal 3 2" xfId="10" xr:uid="{B642378A-21B6-4257-8FC7-AEDAE4CD92FF}"/>
    <cellStyle name="Normal 4" xfId="5" xr:uid="{99627B8F-8386-4810-9E47-F30E95BA6F61}"/>
    <cellStyle name="標準 11" xfId="8" xr:uid="{450DA594-07EC-43EB-8617-8957DF3B68FD}"/>
    <cellStyle name="標準 3" xfId="6" xr:uid="{F18CDDB3-1B06-4E90-8166-817127063B4B}"/>
    <cellStyle name="標準 3 2" xfId="11" xr:uid="{E7C12D10-B087-40FC-9BB8-16C65C5F8DEA}"/>
    <cellStyle name="標準 5" xfId="7" xr:uid="{42B21433-7F15-45D0-8244-1C5C9B78D5DD}"/>
  </cellStyles>
  <dxfs count="10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b val="0"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16">
    <tableStyle name="Project Timeline" pivot="0" count="4" xr9:uid="{00000000-0011-0000-FFFF-FFFF00000000}">
      <tableStyleElement type="wholeTable" dxfId="9"/>
      <tableStyleElement type="headerRow" dxfId="8"/>
      <tableStyleElement type="firstRowStripe" dxfId="7"/>
      <tableStyleElement type="secondRowStripe" dxfId="6"/>
    </tableStyle>
  </tableStyles>
  <colors>
    <mruColors>
      <color rgb="FFFF3F3F"/>
      <color rgb="FFFF9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112199</xdr:colOff>
      <xdr:row>9</xdr:row>
      <xdr:rowOff>65015</xdr:rowOff>
    </xdr:from>
    <xdr:to>
      <xdr:col>12</xdr:col>
      <xdr:colOff>2968</xdr:colOff>
      <xdr:row>49</xdr:row>
      <xdr:rowOff>135938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DC13162-037C-4B3B-A9F0-8CAC9D78452D}"/>
            </a:ext>
          </a:extLst>
        </xdr:cNvPr>
        <xdr:cNvGrpSpPr/>
      </xdr:nvGrpSpPr>
      <xdr:grpSpPr>
        <a:xfrm>
          <a:off x="112199" y="1741415"/>
          <a:ext cx="4081769" cy="6547923"/>
          <a:chOff x="5159025" y="1098176"/>
          <a:chExt cx="3513934" cy="6346218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3440D6F1-8FF4-19F3-2D12-148C1B6EDE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16094" y="1098176"/>
            <a:ext cx="3456865" cy="6346218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4E352480-FE3B-CFF4-E714-D27D6683921F}"/>
              </a:ext>
            </a:extLst>
          </xdr:cNvPr>
          <xdr:cNvSpPr/>
        </xdr:nvSpPr>
        <xdr:spPr>
          <a:xfrm>
            <a:off x="6050688" y="5458240"/>
            <a:ext cx="2501835" cy="742999"/>
          </a:xfrm>
          <a:prstGeom prst="rect">
            <a:avLst/>
          </a:prstGeom>
          <a:noFill/>
          <a:ln>
            <a:solidFill>
              <a:srgbClr val="FF0000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384A5CFC-1735-473E-F6FF-0A0C2758E1CC}"/>
              </a:ext>
            </a:extLst>
          </xdr:cNvPr>
          <xdr:cNvSpPr txBox="1"/>
        </xdr:nvSpPr>
        <xdr:spPr>
          <a:xfrm>
            <a:off x="5159025" y="5401209"/>
            <a:ext cx="944800" cy="5182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000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Use</a:t>
            </a:r>
            <a:r>
              <a:rPr lang="en-US" sz="1000" baseline="0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these symbols in Flowchart group</a:t>
            </a:r>
            <a:endParaRPr lang="en-US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6AA3B991-1F7D-B291-F00E-FC2E00846A0D}"/>
              </a:ext>
            </a:extLst>
          </xdr:cNvPr>
          <xdr:cNvSpPr/>
        </xdr:nvSpPr>
        <xdr:spPr>
          <a:xfrm>
            <a:off x="6058972" y="2617792"/>
            <a:ext cx="1255059" cy="387821"/>
          </a:xfrm>
          <a:prstGeom prst="rect">
            <a:avLst/>
          </a:prstGeom>
          <a:noFill/>
          <a:ln>
            <a:solidFill>
              <a:srgbClr val="FF0000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A18C480-F672-131B-12FF-5667C5FCBC81}"/>
              </a:ext>
            </a:extLst>
          </xdr:cNvPr>
          <xdr:cNvSpPr txBox="1"/>
        </xdr:nvSpPr>
        <xdr:spPr>
          <a:xfrm>
            <a:off x="5249225" y="2526684"/>
            <a:ext cx="844826" cy="5182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000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Use</a:t>
            </a:r>
            <a:r>
              <a:rPr lang="en-US" sz="1000" baseline="0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these lines in Lines group</a:t>
            </a:r>
            <a:endParaRPr lang="en-US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91524</xdr:colOff>
      <xdr:row>116</xdr:row>
      <xdr:rowOff>36444</xdr:rowOff>
    </xdr:from>
    <xdr:to>
      <xdr:col>40</xdr:col>
      <xdr:colOff>176238</xdr:colOff>
      <xdr:row>148</xdr:row>
      <xdr:rowOff>125238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81C7C8F-633E-488A-8B71-E9B13A61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6924" y="18714969"/>
          <a:ext cx="13114914" cy="5270394"/>
        </a:xfrm>
        <a:prstGeom prst="rect">
          <a:avLst/>
        </a:prstGeom>
      </xdr:spPr>
    </xdr:pic>
    <xdr:clientData/>
  </xdr:twoCellAnchor>
  <xdr:twoCellAnchor>
    <xdr:from>
      <xdr:col>4</xdr:col>
      <xdr:colOff>190500</xdr:colOff>
      <xdr:row>55</xdr:row>
      <xdr:rowOff>0</xdr:rowOff>
    </xdr:from>
    <xdr:to>
      <xdr:col>10</xdr:col>
      <xdr:colOff>184447</xdr:colOff>
      <xdr:row>84</xdr:row>
      <xdr:rowOff>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B2DB41B7-F4A4-46A6-8C23-054F9A0738B0}"/>
            </a:ext>
          </a:extLst>
        </xdr:cNvPr>
        <xdr:cNvGrpSpPr/>
      </xdr:nvGrpSpPr>
      <xdr:grpSpPr>
        <a:xfrm>
          <a:off x="1485900" y="9124950"/>
          <a:ext cx="2165647" cy="4695833"/>
          <a:chOff x="3833192" y="2427221"/>
          <a:chExt cx="1879897" cy="4695833"/>
        </a:xfrm>
      </xdr:grpSpPr>
      <xdr:sp macro="" textlink="">
        <xdr:nvSpPr>
          <xdr:cNvPr id="10" name="Flowchart: Terminator 9">
            <a:extLst>
              <a:ext uri="{FF2B5EF4-FFF2-40B4-BE49-F238E27FC236}">
                <a16:creationId xmlns:a16="http://schemas.microsoft.com/office/drawing/2014/main" id="{4FA3A2C2-BFE0-EB1A-5480-85AFFD3DA7A9}"/>
              </a:ext>
            </a:extLst>
          </xdr:cNvPr>
          <xdr:cNvSpPr/>
        </xdr:nvSpPr>
        <xdr:spPr>
          <a:xfrm>
            <a:off x="4031561" y="2427221"/>
            <a:ext cx="1100345" cy="477493"/>
          </a:xfrm>
          <a:prstGeom prst="flowChartTerminator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START</a:t>
            </a:r>
          </a:p>
          <a:p>
            <a:pPr algn="ctr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lowchart: Data 10">
            <a:extLst>
              <a:ext uri="{FF2B5EF4-FFF2-40B4-BE49-F238E27FC236}">
                <a16:creationId xmlns:a16="http://schemas.microsoft.com/office/drawing/2014/main" id="{AD9F4A72-3606-A506-1BF4-8CDB998D9EDE}"/>
              </a:ext>
            </a:extLst>
          </xdr:cNvPr>
          <xdr:cNvSpPr/>
        </xdr:nvSpPr>
        <xdr:spPr>
          <a:xfrm>
            <a:off x="3998430" y="3185494"/>
            <a:ext cx="1166606" cy="452645"/>
          </a:xfrm>
          <a:prstGeom prst="flowChartInputOutpu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INPUT</a:t>
            </a:r>
          </a:p>
        </xdr:txBody>
      </xdr:sp>
      <xdr:sp macro="" textlink="">
        <xdr:nvSpPr>
          <xdr:cNvPr id="12" name="Flowchart: Process 11">
            <a:extLst>
              <a:ext uri="{FF2B5EF4-FFF2-40B4-BE49-F238E27FC236}">
                <a16:creationId xmlns:a16="http://schemas.microsoft.com/office/drawing/2014/main" id="{67074F18-7B27-58A3-05C5-469669DCBF23}"/>
              </a:ext>
            </a:extLst>
          </xdr:cNvPr>
          <xdr:cNvSpPr/>
        </xdr:nvSpPr>
        <xdr:spPr>
          <a:xfrm>
            <a:off x="4118528" y="3918919"/>
            <a:ext cx="926411" cy="494058"/>
          </a:xfrm>
          <a:prstGeom prst="flowChartProcess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PROCESS</a:t>
            </a:r>
          </a:p>
        </xdr:txBody>
      </xdr:sp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A7D6ADCF-C315-3AE7-9CB4-1562A447B574}"/>
              </a:ext>
            </a:extLst>
          </xdr:cNvPr>
          <xdr:cNvSpPr/>
        </xdr:nvSpPr>
        <xdr:spPr>
          <a:xfrm>
            <a:off x="3833192" y="4859828"/>
            <a:ext cx="1497082" cy="601732"/>
          </a:xfrm>
          <a:prstGeom prst="flowChartDecision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DECISION</a:t>
            </a:r>
          </a:p>
        </xdr:txBody>
      </xdr:sp>
      <xdr:sp macro="" textlink="">
        <xdr:nvSpPr>
          <xdr:cNvPr id="14" name="Flowchart: Data 13">
            <a:extLst>
              <a:ext uri="{FF2B5EF4-FFF2-40B4-BE49-F238E27FC236}">
                <a16:creationId xmlns:a16="http://schemas.microsoft.com/office/drawing/2014/main" id="{A20D6BA0-E0C2-814D-9FAB-9CBD9EDCA6E0}"/>
              </a:ext>
            </a:extLst>
          </xdr:cNvPr>
          <xdr:cNvSpPr/>
        </xdr:nvSpPr>
        <xdr:spPr>
          <a:xfrm>
            <a:off x="3998430" y="5908410"/>
            <a:ext cx="1166606" cy="452645"/>
          </a:xfrm>
          <a:prstGeom prst="flowChartInputOutpu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OUTPUT</a:t>
            </a:r>
          </a:p>
        </xdr:txBody>
      </xdr:sp>
      <xdr:sp macro="" textlink="">
        <xdr:nvSpPr>
          <xdr:cNvPr id="15" name="Flowchart: Terminator 14">
            <a:extLst>
              <a:ext uri="{FF2B5EF4-FFF2-40B4-BE49-F238E27FC236}">
                <a16:creationId xmlns:a16="http://schemas.microsoft.com/office/drawing/2014/main" id="{E6224134-0C62-8E8A-F77E-F951063CCEC4}"/>
              </a:ext>
            </a:extLst>
          </xdr:cNvPr>
          <xdr:cNvSpPr/>
        </xdr:nvSpPr>
        <xdr:spPr>
          <a:xfrm>
            <a:off x="4031561" y="6641834"/>
            <a:ext cx="1100345" cy="481220"/>
          </a:xfrm>
          <a:prstGeom prst="flowChartTerminator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END</a:t>
            </a:r>
          </a:p>
          <a:p>
            <a:pPr algn="ctr"/>
            <a:endParaRPr 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756324B6-AF62-EA49-0AA5-18FD32557F9E}"/>
              </a:ext>
            </a:extLst>
          </xdr:cNvPr>
          <xdr:cNvCxnSpPr>
            <a:stCxn id="10" idx="2"/>
            <a:endCxn id="11" idx="1"/>
          </xdr:cNvCxnSpPr>
        </xdr:nvCxnSpPr>
        <xdr:spPr>
          <a:xfrm flipH="1">
            <a:off x="4581526" y="2904714"/>
            <a:ext cx="1" cy="28078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4C5CDD61-B280-A751-8686-7EFE6C6BC7ED}"/>
              </a:ext>
            </a:extLst>
          </xdr:cNvPr>
          <xdr:cNvCxnSpPr>
            <a:stCxn id="11" idx="4"/>
            <a:endCxn id="12" idx="0"/>
          </xdr:cNvCxnSpPr>
        </xdr:nvCxnSpPr>
        <xdr:spPr>
          <a:xfrm>
            <a:off x="4581526" y="3638139"/>
            <a:ext cx="1" cy="28078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>
            <a:extLst>
              <a:ext uri="{FF2B5EF4-FFF2-40B4-BE49-F238E27FC236}">
                <a16:creationId xmlns:a16="http://schemas.microsoft.com/office/drawing/2014/main" id="{E7BB94DB-5371-F20A-3BE7-54917AA1CFDE}"/>
              </a:ext>
            </a:extLst>
          </xdr:cNvPr>
          <xdr:cNvCxnSpPr>
            <a:stCxn id="12" idx="2"/>
            <a:endCxn id="13" idx="0"/>
          </xdr:cNvCxnSpPr>
        </xdr:nvCxnSpPr>
        <xdr:spPr>
          <a:xfrm flipH="1">
            <a:off x="4581526" y="4412977"/>
            <a:ext cx="1" cy="44685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FEC43179-442E-56C5-BD7B-F564450B0DE4}"/>
              </a:ext>
            </a:extLst>
          </xdr:cNvPr>
          <xdr:cNvCxnSpPr>
            <a:stCxn id="13" idx="2"/>
            <a:endCxn id="14" idx="1"/>
          </xdr:cNvCxnSpPr>
        </xdr:nvCxnSpPr>
        <xdr:spPr>
          <a:xfrm>
            <a:off x="4581526" y="5461560"/>
            <a:ext cx="0" cy="44685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C8FCF97E-276C-FFFB-7576-8119C4DE45AA}"/>
              </a:ext>
            </a:extLst>
          </xdr:cNvPr>
          <xdr:cNvCxnSpPr>
            <a:stCxn id="14" idx="4"/>
            <a:endCxn id="15" idx="0"/>
          </xdr:cNvCxnSpPr>
        </xdr:nvCxnSpPr>
        <xdr:spPr>
          <a:xfrm>
            <a:off x="4581526" y="6361055"/>
            <a:ext cx="1" cy="28077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Elbow Connector 120">
            <a:extLst>
              <a:ext uri="{FF2B5EF4-FFF2-40B4-BE49-F238E27FC236}">
                <a16:creationId xmlns:a16="http://schemas.microsoft.com/office/drawing/2014/main" id="{9CED69F8-1BE3-449B-4B26-7B82DD83F739}"/>
              </a:ext>
            </a:extLst>
          </xdr:cNvPr>
          <xdr:cNvCxnSpPr>
            <a:stCxn id="13" idx="3"/>
          </xdr:cNvCxnSpPr>
        </xdr:nvCxnSpPr>
        <xdr:spPr>
          <a:xfrm flipH="1" flipV="1">
            <a:off x="4577802" y="4652758"/>
            <a:ext cx="752472" cy="509800"/>
          </a:xfrm>
          <a:prstGeom prst="bentConnector3">
            <a:avLst>
              <a:gd name="adj1" fmla="val -65495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4300D3C9-B326-1537-54E6-121A26A6238F}"/>
              </a:ext>
            </a:extLst>
          </xdr:cNvPr>
          <xdr:cNvSpPr txBox="1"/>
        </xdr:nvSpPr>
        <xdr:spPr>
          <a:xfrm>
            <a:off x="5363408" y="4918628"/>
            <a:ext cx="349681" cy="2608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No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E99DACCC-AEFD-52FB-AB81-6C5EDDF6DF6D}"/>
              </a:ext>
            </a:extLst>
          </xdr:cNvPr>
          <xdr:cNvSpPr txBox="1"/>
        </xdr:nvSpPr>
        <xdr:spPr>
          <a:xfrm>
            <a:off x="4572833" y="5432565"/>
            <a:ext cx="377930" cy="257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Yes</a:t>
            </a:r>
          </a:p>
        </xdr:txBody>
      </xdr:sp>
    </xdr:grpSp>
    <xdr:clientData/>
  </xdr:twoCellAnchor>
  <xdr:twoCellAnchor>
    <xdr:from>
      <xdr:col>13</xdr:col>
      <xdr:colOff>194643</xdr:colOff>
      <xdr:row>55</xdr:row>
      <xdr:rowOff>0</xdr:rowOff>
    </xdr:from>
    <xdr:to>
      <xdr:col>23</xdr:col>
      <xdr:colOff>144948</xdr:colOff>
      <xdr:row>84</xdr:row>
      <xdr:rowOff>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2D632DB5-BA60-40C8-A773-F0DD43484953}"/>
            </a:ext>
          </a:extLst>
        </xdr:cNvPr>
        <xdr:cNvGrpSpPr/>
      </xdr:nvGrpSpPr>
      <xdr:grpSpPr>
        <a:xfrm>
          <a:off x="4747593" y="9124950"/>
          <a:ext cx="3569805" cy="4695833"/>
          <a:chOff x="6666260" y="2427221"/>
          <a:chExt cx="3093555" cy="4695833"/>
        </a:xfrm>
      </xdr:grpSpPr>
      <xdr:sp macro="" textlink="">
        <xdr:nvSpPr>
          <xdr:cNvPr id="25" name="Flowchart: Terminator 24">
            <a:extLst>
              <a:ext uri="{FF2B5EF4-FFF2-40B4-BE49-F238E27FC236}">
                <a16:creationId xmlns:a16="http://schemas.microsoft.com/office/drawing/2014/main" id="{16346336-992E-4220-8A5F-6A87ECAA7B7B}"/>
              </a:ext>
            </a:extLst>
          </xdr:cNvPr>
          <xdr:cNvSpPr/>
        </xdr:nvSpPr>
        <xdr:spPr>
          <a:xfrm>
            <a:off x="6864629" y="2427221"/>
            <a:ext cx="1100344" cy="477493"/>
          </a:xfrm>
          <a:prstGeom prst="flowChartTerminator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START</a:t>
            </a:r>
          </a:p>
          <a:p>
            <a:pPr algn="ctr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6" name="Flowchart: Process 25">
            <a:extLst>
              <a:ext uri="{FF2B5EF4-FFF2-40B4-BE49-F238E27FC236}">
                <a16:creationId xmlns:a16="http://schemas.microsoft.com/office/drawing/2014/main" id="{BC36C1BB-21FD-F3BE-499D-FE4F4DCFEC75}"/>
              </a:ext>
            </a:extLst>
          </xdr:cNvPr>
          <xdr:cNvSpPr/>
        </xdr:nvSpPr>
        <xdr:spPr>
          <a:xfrm>
            <a:off x="6951596" y="3454262"/>
            <a:ext cx="926410" cy="494057"/>
          </a:xfrm>
          <a:prstGeom prst="flowChartProcess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Alarm Rings</a:t>
            </a:r>
          </a:p>
        </xdr:txBody>
      </xdr:sp>
      <xdr:sp macro="" textlink="">
        <xdr:nvSpPr>
          <xdr:cNvPr id="27" name="Flowchart: Decision 26">
            <a:extLst>
              <a:ext uri="{FF2B5EF4-FFF2-40B4-BE49-F238E27FC236}">
                <a16:creationId xmlns:a16="http://schemas.microsoft.com/office/drawing/2014/main" id="{CF159F3E-AA49-50EA-127C-B1FCECFAA6C1}"/>
              </a:ext>
            </a:extLst>
          </xdr:cNvPr>
          <xdr:cNvSpPr/>
        </xdr:nvSpPr>
        <xdr:spPr>
          <a:xfrm>
            <a:off x="6666260" y="4350625"/>
            <a:ext cx="1499152" cy="867659"/>
          </a:xfrm>
          <a:prstGeom prst="flowChartDecision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Ready to get up ?</a:t>
            </a:r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D437FC30-9D0D-6511-F70C-2FF4E36A8ABD}"/>
              </a:ext>
            </a:extLst>
          </xdr:cNvPr>
          <xdr:cNvSpPr txBox="1"/>
        </xdr:nvSpPr>
        <xdr:spPr>
          <a:xfrm>
            <a:off x="8130208" y="4512778"/>
            <a:ext cx="349682" cy="257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No</a:t>
            </a:r>
          </a:p>
        </xdr:txBody>
      </xdr:sp>
      <xdr:sp macro="" textlink="">
        <xdr:nvSpPr>
          <xdr:cNvPr id="29" name="Flowchart: Process 28">
            <a:extLst>
              <a:ext uri="{FF2B5EF4-FFF2-40B4-BE49-F238E27FC236}">
                <a16:creationId xmlns:a16="http://schemas.microsoft.com/office/drawing/2014/main" id="{C8250BCD-44BA-D78B-D20E-92FD3BDA3888}"/>
              </a:ext>
            </a:extLst>
          </xdr:cNvPr>
          <xdr:cNvSpPr/>
        </xdr:nvSpPr>
        <xdr:spPr>
          <a:xfrm>
            <a:off x="8833404" y="4528108"/>
            <a:ext cx="926411" cy="494057"/>
          </a:xfrm>
          <a:prstGeom prst="flowChartProcess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Hit Snooze button</a:t>
            </a:r>
          </a:p>
        </xdr:txBody>
      </xdr:sp>
      <xdr:sp macro="" textlink="">
        <xdr:nvSpPr>
          <xdr:cNvPr id="30" name="Flowchart: Delay 29">
            <a:extLst>
              <a:ext uri="{FF2B5EF4-FFF2-40B4-BE49-F238E27FC236}">
                <a16:creationId xmlns:a16="http://schemas.microsoft.com/office/drawing/2014/main" id="{48F02C4E-1894-DD80-720D-826488AFE15D}"/>
              </a:ext>
            </a:extLst>
          </xdr:cNvPr>
          <xdr:cNvSpPr/>
        </xdr:nvSpPr>
        <xdr:spPr>
          <a:xfrm>
            <a:off x="8862393" y="3403506"/>
            <a:ext cx="869674" cy="614204"/>
          </a:xfrm>
          <a:prstGeom prst="flowChartDelay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sp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DELAY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5 Min.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4FAB4DF9-ABA6-7337-0BAC-B35E6EDD473C}"/>
              </a:ext>
            </a:extLst>
          </xdr:cNvPr>
          <xdr:cNvSpPr txBox="1"/>
        </xdr:nvSpPr>
        <xdr:spPr>
          <a:xfrm>
            <a:off x="7402582" y="5152199"/>
            <a:ext cx="377929" cy="2571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Yes</a:t>
            </a:r>
          </a:p>
        </xdr:txBody>
      </xdr:sp>
      <xdr:sp macro="" textlink="">
        <xdr:nvSpPr>
          <xdr:cNvPr id="32" name="Flowchart: Process 31">
            <a:extLst>
              <a:ext uri="{FF2B5EF4-FFF2-40B4-BE49-F238E27FC236}">
                <a16:creationId xmlns:a16="http://schemas.microsoft.com/office/drawing/2014/main" id="{CDAED574-5D4C-4EF8-1336-A80932C081F2}"/>
              </a:ext>
            </a:extLst>
          </xdr:cNvPr>
          <xdr:cNvSpPr/>
        </xdr:nvSpPr>
        <xdr:spPr>
          <a:xfrm>
            <a:off x="6951596" y="5611889"/>
            <a:ext cx="926410" cy="494057"/>
          </a:xfrm>
          <a:prstGeom prst="flowChartProcess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Climb out of bed</a:t>
            </a:r>
          </a:p>
        </xdr:txBody>
      </xdr:sp>
      <xdr:sp macro="" textlink="">
        <xdr:nvSpPr>
          <xdr:cNvPr id="33" name="Flowchart: Terminator 32">
            <a:extLst>
              <a:ext uri="{FF2B5EF4-FFF2-40B4-BE49-F238E27FC236}">
                <a16:creationId xmlns:a16="http://schemas.microsoft.com/office/drawing/2014/main" id="{2C3343EE-EEE3-2497-49BA-4703E4F60E4C}"/>
              </a:ext>
            </a:extLst>
          </xdr:cNvPr>
          <xdr:cNvSpPr/>
        </xdr:nvSpPr>
        <xdr:spPr>
          <a:xfrm>
            <a:off x="6864629" y="6641834"/>
            <a:ext cx="1100344" cy="481220"/>
          </a:xfrm>
          <a:prstGeom prst="flowChartTerminator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END</a:t>
            </a:r>
          </a:p>
          <a:p>
            <a:pPr algn="ctr"/>
            <a:endParaRPr 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" name="Straight Arrow Connector 33">
            <a:extLst>
              <a:ext uri="{FF2B5EF4-FFF2-40B4-BE49-F238E27FC236}">
                <a16:creationId xmlns:a16="http://schemas.microsoft.com/office/drawing/2014/main" id="{01076F0C-C59E-140B-BD7D-B187D3BB5D6C}"/>
              </a:ext>
            </a:extLst>
          </xdr:cNvPr>
          <xdr:cNvCxnSpPr>
            <a:stCxn id="25" idx="2"/>
            <a:endCxn id="26" idx="0"/>
          </xdr:cNvCxnSpPr>
        </xdr:nvCxnSpPr>
        <xdr:spPr>
          <a:xfrm>
            <a:off x="7414595" y="2904714"/>
            <a:ext cx="0" cy="549548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4B5CFADC-7950-2A57-BE5E-110ECC1F94E4}"/>
              </a:ext>
            </a:extLst>
          </xdr:cNvPr>
          <xdr:cNvCxnSpPr>
            <a:stCxn id="26" idx="2"/>
            <a:endCxn id="27" idx="0"/>
          </xdr:cNvCxnSpPr>
        </xdr:nvCxnSpPr>
        <xdr:spPr>
          <a:xfrm flipH="1">
            <a:off x="7414594" y="3948319"/>
            <a:ext cx="1" cy="402306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2E0F586F-4F88-DF32-2FE6-81B57BB5DC72}"/>
              </a:ext>
            </a:extLst>
          </xdr:cNvPr>
          <xdr:cNvCxnSpPr>
            <a:stCxn id="27" idx="2"/>
            <a:endCxn id="32" idx="0"/>
          </xdr:cNvCxnSpPr>
        </xdr:nvCxnSpPr>
        <xdr:spPr>
          <a:xfrm>
            <a:off x="7414594" y="5195921"/>
            <a:ext cx="1" cy="415968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Straight Arrow Connector 36">
            <a:extLst>
              <a:ext uri="{FF2B5EF4-FFF2-40B4-BE49-F238E27FC236}">
                <a16:creationId xmlns:a16="http://schemas.microsoft.com/office/drawing/2014/main" id="{8F527FA1-1456-2CB0-CFBD-0829DF8CFD5C}"/>
              </a:ext>
            </a:extLst>
          </xdr:cNvPr>
          <xdr:cNvCxnSpPr>
            <a:stCxn id="32" idx="2"/>
            <a:endCxn id="33" idx="0"/>
          </xdr:cNvCxnSpPr>
        </xdr:nvCxnSpPr>
        <xdr:spPr>
          <a:xfrm>
            <a:off x="7414595" y="6105946"/>
            <a:ext cx="0" cy="535888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F05A6D8C-BD21-A521-4B11-C66E64DB64BA}"/>
              </a:ext>
            </a:extLst>
          </xdr:cNvPr>
          <xdr:cNvCxnSpPr>
            <a:stCxn id="27" idx="3"/>
            <a:endCxn id="29" idx="1"/>
          </xdr:cNvCxnSpPr>
        </xdr:nvCxnSpPr>
        <xdr:spPr>
          <a:xfrm>
            <a:off x="8163341" y="4773273"/>
            <a:ext cx="670063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Arrow Connector 38">
            <a:extLst>
              <a:ext uri="{FF2B5EF4-FFF2-40B4-BE49-F238E27FC236}">
                <a16:creationId xmlns:a16="http://schemas.microsoft.com/office/drawing/2014/main" id="{4DE09A66-7F3F-A6B4-5C6A-8A99A80A748B}"/>
              </a:ext>
            </a:extLst>
          </xdr:cNvPr>
          <xdr:cNvCxnSpPr>
            <a:stCxn id="29" idx="0"/>
            <a:endCxn id="30" idx="2"/>
          </xdr:cNvCxnSpPr>
        </xdr:nvCxnSpPr>
        <xdr:spPr>
          <a:xfrm flipH="1" flipV="1">
            <a:off x="9296402" y="4002801"/>
            <a:ext cx="1" cy="525307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Arrow Connector 39">
            <a:extLst>
              <a:ext uri="{FF2B5EF4-FFF2-40B4-BE49-F238E27FC236}">
                <a16:creationId xmlns:a16="http://schemas.microsoft.com/office/drawing/2014/main" id="{A881CC5A-5195-CEDB-5BF5-5D2047CD91E0}"/>
              </a:ext>
            </a:extLst>
          </xdr:cNvPr>
          <xdr:cNvCxnSpPr>
            <a:stCxn id="30" idx="1"/>
            <a:endCxn id="26" idx="3"/>
          </xdr:cNvCxnSpPr>
        </xdr:nvCxnSpPr>
        <xdr:spPr>
          <a:xfrm flipH="1">
            <a:off x="7878006" y="3703154"/>
            <a:ext cx="984387" cy="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123825</xdr:colOff>
      <xdr:row>11</xdr:row>
      <xdr:rowOff>0</xdr:rowOff>
    </xdr:from>
    <xdr:to>
      <xdr:col>32</xdr:col>
      <xdr:colOff>219128</xdr:colOff>
      <xdr:row>48</xdr:row>
      <xdr:rowOff>93936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34BE2C67-8C01-4D95-9D94-89A3D80776D8}"/>
            </a:ext>
          </a:extLst>
        </xdr:cNvPr>
        <xdr:cNvGrpSpPr/>
      </xdr:nvGrpSpPr>
      <xdr:grpSpPr>
        <a:xfrm>
          <a:off x="5400675" y="2000250"/>
          <a:ext cx="6248453" cy="6085161"/>
          <a:chOff x="4705350" y="2428875"/>
          <a:chExt cx="5438828" cy="6085161"/>
        </a:xfrm>
      </xdr:grpSpPr>
      <xdr:sp macro="" textlink="">
        <xdr:nvSpPr>
          <xdr:cNvPr id="42" name="Flowchart: Terminator 41">
            <a:extLst>
              <a:ext uri="{FF2B5EF4-FFF2-40B4-BE49-F238E27FC236}">
                <a16:creationId xmlns:a16="http://schemas.microsoft.com/office/drawing/2014/main" id="{8928976C-65BE-9D51-CFC2-AE94BE7E3BA9}"/>
              </a:ext>
            </a:extLst>
          </xdr:cNvPr>
          <xdr:cNvSpPr/>
        </xdr:nvSpPr>
        <xdr:spPr>
          <a:xfrm>
            <a:off x="4986650" y="2428875"/>
            <a:ext cx="1100133" cy="477678"/>
          </a:xfrm>
          <a:prstGeom prst="flowChartTerminator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TERMINATOR</a:t>
            </a:r>
          </a:p>
          <a:p>
            <a:pPr algn="ctr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107CB420-9F6C-A492-D76F-A8A1EB255B51}"/>
              </a:ext>
            </a:extLst>
          </xdr:cNvPr>
          <xdr:cNvSpPr txBox="1"/>
        </xdr:nvSpPr>
        <xdr:spPr>
          <a:xfrm>
            <a:off x="6473686" y="2560983"/>
            <a:ext cx="1740285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Start,</a:t>
            </a:r>
            <a:r>
              <a:rPr lang="en-US" sz="1100" baseline="0"/>
              <a:t> End, Halt the process</a:t>
            </a:r>
            <a:endParaRPr lang="en-US" sz="1100"/>
          </a:p>
        </xdr:txBody>
      </xdr:sp>
      <xdr:sp macro="" textlink="">
        <xdr:nvSpPr>
          <xdr:cNvPr id="44" name="Flowchart: Process 43">
            <a:extLst>
              <a:ext uri="{FF2B5EF4-FFF2-40B4-BE49-F238E27FC236}">
                <a16:creationId xmlns:a16="http://schemas.microsoft.com/office/drawing/2014/main" id="{AF4D2B83-D595-D082-FE24-F26F3A0EBF9F}"/>
              </a:ext>
            </a:extLst>
          </xdr:cNvPr>
          <xdr:cNvSpPr/>
        </xdr:nvSpPr>
        <xdr:spPr>
          <a:xfrm>
            <a:off x="5073709" y="3715991"/>
            <a:ext cx="926015" cy="493871"/>
          </a:xfrm>
          <a:prstGeom prst="flowChartProcess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PROCESS</a:t>
            </a:r>
          </a:p>
        </xdr:txBody>
      </xdr:sp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C1BD6401-1DD6-E74D-C5B6-72C325E0C698}"/>
              </a:ext>
            </a:extLst>
          </xdr:cNvPr>
          <xdr:cNvSpPr txBox="1"/>
        </xdr:nvSpPr>
        <xdr:spPr>
          <a:xfrm>
            <a:off x="6473686" y="3799646"/>
            <a:ext cx="1601144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Any operation or activity</a:t>
            </a:r>
          </a:p>
        </xdr:txBody>
      </xdr:sp>
      <xdr:sp macro="" textlink="">
        <xdr:nvSpPr>
          <xdr:cNvPr id="46" name="Flowchart: Decision 45">
            <a:extLst>
              <a:ext uri="{FF2B5EF4-FFF2-40B4-BE49-F238E27FC236}">
                <a16:creationId xmlns:a16="http://schemas.microsoft.com/office/drawing/2014/main" id="{E0F63297-B2AC-6FE2-CE55-1C2630B6DD31}"/>
              </a:ext>
            </a:extLst>
          </xdr:cNvPr>
          <xdr:cNvSpPr/>
        </xdr:nvSpPr>
        <xdr:spPr>
          <a:xfrm>
            <a:off x="4788337" y="3074504"/>
            <a:ext cx="1496759" cy="494058"/>
          </a:xfrm>
          <a:prstGeom prst="flowChartDecision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DECISION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47202B48-535E-DE6F-02CE-B388A1F40464}"/>
              </a:ext>
            </a:extLst>
          </xdr:cNvPr>
          <xdr:cNvSpPr txBox="1"/>
        </xdr:nvSpPr>
        <xdr:spPr>
          <a:xfrm>
            <a:off x="6473686" y="3183421"/>
            <a:ext cx="3670492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Select one of several paths based on a conditional statement</a:t>
            </a:r>
          </a:p>
        </xdr:txBody>
      </xdr:sp>
      <xdr:sp macro="" textlink="">
        <xdr:nvSpPr>
          <xdr:cNvPr id="48" name="Flowchart: Data 47">
            <a:extLst>
              <a:ext uri="{FF2B5EF4-FFF2-40B4-BE49-F238E27FC236}">
                <a16:creationId xmlns:a16="http://schemas.microsoft.com/office/drawing/2014/main" id="{53A28D30-28DE-AD55-2239-47E0DAFAFCAA}"/>
              </a:ext>
            </a:extLst>
          </xdr:cNvPr>
          <xdr:cNvSpPr/>
        </xdr:nvSpPr>
        <xdr:spPr>
          <a:xfrm>
            <a:off x="4953563" y="4369903"/>
            <a:ext cx="1166306" cy="477493"/>
          </a:xfrm>
          <a:prstGeom prst="flowChartInputOutpu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DATA</a:t>
            </a: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AF79D8C-B44E-5C9B-4450-01F0E0669626}"/>
              </a:ext>
            </a:extLst>
          </xdr:cNvPr>
          <xdr:cNvSpPr txBox="1"/>
        </xdr:nvSpPr>
        <xdr:spPr>
          <a:xfrm>
            <a:off x="6473686" y="4473437"/>
            <a:ext cx="3240887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Input/</a:t>
            </a:r>
            <a:r>
              <a:rPr lang="en-US" sz="1100" baseline="0"/>
              <a:t> Output, generate or receive some type of data</a:t>
            </a:r>
            <a:endParaRPr lang="en-US" sz="1100"/>
          </a:p>
        </xdr:txBody>
      </xdr: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3D50E7C9-7B21-FF97-B0B6-2E3C88E0E01B}"/>
              </a:ext>
            </a:extLst>
          </xdr:cNvPr>
          <xdr:cNvGrpSpPr/>
        </xdr:nvGrpSpPr>
        <xdr:grpSpPr>
          <a:xfrm>
            <a:off x="5207689" y="5017604"/>
            <a:ext cx="793888" cy="456372"/>
            <a:chOff x="9144001" y="18428805"/>
            <a:chExt cx="795130" cy="463826"/>
          </a:xfrm>
        </xdr:grpSpPr>
        <xdr:cxnSp macro="">
          <xdr:nvCxnSpPr>
            <xdr:cNvPr id="61" name="Straight Arrow Connector 60">
              <a:extLst>
                <a:ext uri="{FF2B5EF4-FFF2-40B4-BE49-F238E27FC236}">
                  <a16:creationId xmlns:a16="http://schemas.microsoft.com/office/drawing/2014/main" id="{650B7003-54D9-3BE1-7554-ED0BE9647CE7}"/>
                </a:ext>
              </a:extLst>
            </xdr:cNvPr>
            <xdr:cNvCxnSpPr/>
          </xdr:nvCxnSpPr>
          <xdr:spPr>
            <a:xfrm>
              <a:off x="9144001" y="18428805"/>
              <a:ext cx="0" cy="463826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Straight Arrow Connector 61">
              <a:extLst>
                <a:ext uri="{FF2B5EF4-FFF2-40B4-BE49-F238E27FC236}">
                  <a16:creationId xmlns:a16="http://schemas.microsoft.com/office/drawing/2014/main" id="{5684DF45-3AAC-0378-2C0E-72A75766866A}"/>
                </a:ext>
              </a:extLst>
            </xdr:cNvPr>
            <xdr:cNvCxnSpPr/>
          </xdr:nvCxnSpPr>
          <xdr:spPr>
            <a:xfrm>
              <a:off x="9417326" y="18569611"/>
              <a:ext cx="521804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" name="Straight Arrow Connector 62">
              <a:extLst>
                <a:ext uri="{FF2B5EF4-FFF2-40B4-BE49-F238E27FC236}">
                  <a16:creationId xmlns:a16="http://schemas.microsoft.com/office/drawing/2014/main" id="{FDE624D3-EB2E-4371-53D7-10240A973605}"/>
                </a:ext>
              </a:extLst>
            </xdr:cNvPr>
            <xdr:cNvCxnSpPr/>
          </xdr:nvCxnSpPr>
          <xdr:spPr>
            <a:xfrm rot="10800000">
              <a:off x="9417327" y="18722010"/>
              <a:ext cx="521804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" name="Straight Arrow Connector 63">
              <a:extLst>
                <a:ext uri="{FF2B5EF4-FFF2-40B4-BE49-F238E27FC236}">
                  <a16:creationId xmlns:a16="http://schemas.microsoft.com/office/drawing/2014/main" id="{DCC522EE-15FE-8156-4433-B23C1552EB28}"/>
                </a:ext>
              </a:extLst>
            </xdr:cNvPr>
            <xdr:cNvCxnSpPr/>
          </xdr:nvCxnSpPr>
          <xdr:spPr>
            <a:xfrm rot="10800000">
              <a:off x="9271553" y="18428805"/>
              <a:ext cx="0" cy="463826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D578CA11-AA01-CF47-9486-BFBF8826B2C5}"/>
              </a:ext>
            </a:extLst>
          </xdr:cNvPr>
          <xdr:cNvSpPr txBox="1"/>
        </xdr:nvSpPr>
        <xdr:spPr>
          <a:xfrm>
            <a:off x="6473686" y="5118237"/>
            <a:ext cx="753220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Flow lines</a:t>
            </a:r>
          </a:p>
        </xdr:txBody>
      </xdr:sp>
      <xdr:sp macro="" textlink="">
        <xdr:nvSpPr>
          <xdr:cNvPr id="52" name="Flowchart: Predefined Process 51">
            <a:extLst>
              <a:ext uri="{FF2B5EF4-FFF2-40B4-BE49-F238E27FC236}">
                <a16:creationId xmlns:a16="http://schemas.microsoft.com/office/drawing/2014/main" id="{AECE869D-AFA7-F6A4-A548-847CF353FE9C}"/>
              </a:ext>
            </a:extLst>
          </xdr:cNvPr>
          <xdr:cNvSpPr/>
        </xdr:nvSpPr>
        <xdr:spPr>
          <a:xfrm>
            <a:off x="4788176" y="5657022"/>
            <a:ext cx="1497080" cy="494056"/>
          </a:xfrm>
          <a:prstGeom prst="flowChartPredefinedProcess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PROCEDURE CALL</a:t>
            </a: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B6809D1A-DF92-1307-1F00-01556FF53C28}"/>
              </a:ext>
            </a:extLst>
          </xdr:cNvPr>
          <xdr:cNvSpPr txBox="1"/>
        </xdr:nvSpPr>
        <xdr:spPr>
          <a:xfrm>
            <a:off x="6473686" y="5685183"/>
            <a:ext cx="3543919" cy="436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Predefined Process: Named process(es) defined</a:t>
            </a:r>
            <a:r>
              <a:rPr lang="en-US" sz="1100" baseline="0"/>
              <a:t> elsewhere</a:t>
            </a:r>
          </a:p>
          <a:p>
            <a:pPr algn="l"/>
            <a:r>
              <a:rPr lang="en-US" sz="1100" baseline="0"/>
              <a:t>such as subroutine or module</a:t>
            </a:r>
            <a:endParaRPr lang="en-US" sz="1100"/>
          </a:p>
        </xdr:txBody>
      </xdr:sp>
      <xdr:sp macro="" textlink="">
        <xdr:nvSpPr>
          <xdr:cNvPr id="54" name="Flowchart: Display 53">
            <a:extLst>
              <a:ext uri="{FF2B5EF4-FFF2-40B4-BE49-F238E27FC236}">
                <a16:creationId xmlns:a16="http://schemas.microsoft.com/office/drawing/2014/main" id="{CE667754-88CA-5788-9464-AC7D9F943539}"/>
              </a:ext>
            </a:extLst>
          </xdr:cNvPr>
          <xdr:cNvSpPr/>
        </xdr:nvSpPr>
        <xdr:spPr>
          <a:xfrm>
            <a:off x="5023816" y="6960701"/>
            <a:ext cx="1025801" cy="472940"/>
          </a:xfrm>
          <a:prstGeom prst="flowChartDisplay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DISPLAY</a:t>
            </a: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B6D5D757-0FCF-850C-F0A8-0CE5362073B6}"/>
              </a:ext>
            </a:extLst>
          </xdr:cNvPr>
          <xdr:cNvSpPr txBox="1"/>
        </xdr:nvSpPr>
        <xdr:spPr>
          <a:xfrm>
            <a:off x="6473686" y="7013710"/>
            <a:ext cx="2665538" cy="436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Information to be displayed in any manner,</a:t>
            </a:r>
          </a:p>
          <a:p>
            <a:pPr algn="l"/>
            <a:r>
              <a:rPr lang="en-US" sz="1100"/>
              <a:t>such as screen or printer</a:t>
            </a:r>
          </a:p>
        </xdr:txBody>
      </xdr:sp>
      <xdr:sp macro="" textlink="">
        <xdr:nvSpPr>
          <xdr:cNvPr id="56" name="Flowchart: Delay 55">
            <a:extLst>
              <a:ext uri="{FF2B5EF4-FFF2-40B4-BE49-F238E27FC236}">
                <a16:creationId xmlns:a16="http://schemas.microsoft.com/office/drawing/2014/main" id="{EB087ECA-E7B6-1104-5828-B88176A36A92}"/>
              </a:ext>
            </a:extLst>
          </xdr:cNvPr>
          <xdr:cNvSpPr/>
        </xdr:nvSpPr>
        <xdr:spPr>
          <a:xfrm>
            <a:off x="5044522" y="6313004"/>
            <a:ext cx="984389" cy="485774"/>
          </a:xfrm>
          <a:prstGeom prst="flowChartDelay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DELAY</a:t>
            </a: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7DECB87-1709-E045-BB15-FA9527270251}"/>
              </a:ext>
            </a:extLst>
          </xdr:cNvPr>
          <xdr:cNvSpPr txBox="1"/>
        </xdr:nvSpPr>
        <xdr:spPr>
          <a:xfrm>
            <a:off x="6473686" y="6419435"/>
            <a:ext cx="2935547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Waiting period, during which there is no activity</a:t>
            </a:r>
          </a:p>
        </xdr:txBody>
      </xdr:sp>
      <xdr:sp macro="" textlink="">
        <xdr:nvSpPr>
          <xdr:cNvPr id="58" name="Flowchart: Preparation 57">
            <a:extLst>
              <a:ext uri="{FF2B5EF4-FFF2-40B4-BE49-F238E27FC236}">
                <a16:creationId xmlns:a16="http://schemas.microsoft.com/office/drawing/2014/main" id="{5C5D1E4C-ECE5-2BB1-F10E-A0B6C673FAF7}"/>
              </a:ext>
            </a:extLst>
          </xdr:cNvPr>
          <xdr:cNvSpPr/>
        </xdr:nvSpPr>
        <xdr:spPr>
          <a:xfrm>
            <a:off x="4705350" y="7616684"/>
            <a:ext cx="1662733" cy="469212"/>
          </a:xfrm>
          <a:prstGeom prst="flowChartPreparation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PREPARATION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C9CD5AD9-DECD-123D-6E2D-DB818340A714}"/>
              </a:ext>
            </a:extLst>
          </xdr:cNvPr>
          <xdr:cNvSpPr txBox="1"/>
        </xdr:nvSpPr>
        <xdr:spPr>
          <a:xfrm>
            <a:off x="6473686" y="7697026"/>
            <a:ext cx="1585947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/>
              <a:t>Any preparation process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B6CE54E9-B3F0-5728-0CDC-B708B94C26BE}"/>
              </a:ext>
            </a:extLst>
          </xdr:cNvPr>
          <xdr:cNvSpPr txBox="1"/>
        </xdr:nvSpPr>
        <xdr:spPr>
          <a:xfrm>
            <a:off x="5025886" y="8249476"/>
            <a:ext cx="3960443" cy="264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>
            <a:spAutoFit/>
          </a:bodyPr>
          <a:lstStyle/>
          <a:p>
            <a:pPr algn="l"/>
            <a:r>
              <a:rPr lang="en-US" sz="1100"/>
              <a:t>* Remark:</a:t>
            </a:r>
            <a:r>
              <a:rPr lang="en-US" sz="1100" baseline="0"/>
              <a:t> other symbols are rarely used, please check by yourself</a:t>
            </a:r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7"/>
  <sheetViews>
    <sheetView showGridLines="0" topLeftCell="A10" zoomScaleNormal="100" zoomScalePageLayoutView="70" workbookViewId="0">
      <selection activeCell="Q21" sqref="Q21"/>
    </sheetView>
  </sheetViews>
  <sheetFormatPr defaultRowHeight="14.25"/>
  <cols>
    <col min="1" max="13" width="7.375" customWidth="1"/>
  </cols>
  <sheetData>
    <row r="1" spans="1:1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1:13">
      <c r="A2" s="4"/>
      <c r="M2" s="5"/>
    </row>
    <row r="3" spans="1:13">
      <c r="A3" s="4"/>
      <c r="M3" s="5"/>
    </row>
    <row r="4" spans="1:13">
      <c r="A4" s="4"/>
      <c r="M4" s="5"/>
    </row>
    <row r="5" spans="1:13">
      <c r="A5" s="4"/>
      <c r="M5" s="5"/>
    </row>
    <row r="6" spans="1:13">
      <c r="A6" s="4"/>
      <c r="M6" s="5"/>
    </row>
    <row r="7" spans="1:13">
      <c r="A7" s="4"/>
      <c r="M7" s="5"/>
    </row>
    <row r="8" spans="1:13">
      <c r="A8" s="4"/>
      <c r="M8" s="5"/>
    </row>
    <row r="9" spans="1:13">
      <c r="A9" s="4"/>
      <c r="M9" s="5"/>
    </row>
    <row r="10" spans="1:13">
      <c r="A10" s="4"/>
      <c r="M10" s="5"/>
    </row>
    <row r="11" spans="1:13">
      <c r="A11" s="4"/>
      <c r="M11" s="5"/>
    </row>
    <row r="12" spans="1:13">
      <c r="A12" s="4"/>
      <c r="M12" s="5"/>
    </row>
    <row r="13" spans="1:13">
      <c r="A13" s="4"/>
      <c r="M13" s="5"/>
    </row>
    <row r="14" spans="1:13">
      <c r="A14" s="4"/>
      <c r="M14" s="5"/>
    </row>
    <row r="15" spans="1:13">
      <c r="A15" s="4"/>
      <c r="M15" s="5"/>
    </row>
    <row r="16" spans="1:13">
      <c r="A16" s="4"/>
      <c r="M16" s="5"/>
    </row>
    <row r="17" spans="1:13">
      <c r="A17" s="4"/>
      <c r="M17" s="5"/>
    </row>
    <row r="18" spans="1:13">
      <c r="A18" s="4"/>
      <c r="M18" s="5"/>
    </row>
    <row r="19" spans="1:13">
      <c r="A19" s="4"/>
      <c r="M19" s="5"/>
    </row>
    <row r="20" spans="1:13">
      <c r="A20" s="4"/>
      <c r="M20" s="5"/>
    </row>
    <row r="21" spans="1:13">
      <c r="A21" s="4"/>
      <c r="M21" s="5"/>
    </row>
    <row r="22" spans="1:13">
      <c r="A22" s="135" t="s">
        <v>164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7"/>
    </row>
    <row r="23" spans="1:13">
      <c r="A23" s="135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7"/>
    </row>
    <row r="24" spans="1:13">
      <c r="A24" s="135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7"/>
    </row>
    <row r="25" spans="1:13">
      <c r="A25" s="135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7"/>
    </row>
    <row r="26" spans="1:13">
      <c r="A26" s="135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7"/>
    </row>
    <row r="27" spans="1:13" ht="20.25" customHeight="1">
      <c r="A27" s="4"/>
      <c r="L27" s="9"/>
      <c r="M27" s="10"/>
    </row>
    <row r="28" spans="1:13" ht="20.25" customHeight="1">
      <c r="A28" s="4"/>
      <c r="H28" s="113" t="s">
        <v>6</v>
      </c>
      <c r="I28" s="114"/>
      <c r="J28" s="114" t="s">
        <v>8</v>
      </c>
      <c r="K28" s="114"/>
      <c r="L28" s="26"/>
      <c r="M28" s="10"/>
    </row>
    <row r="29" spans="1:13" ht="24">
      <c r="A29" s="4"/>
      <c r="H29" s="113" t="s">
        <v>17</v>
      </c>
      <c r="I29" s="114"/>
      <c r="J29" s="114" t="s">
        <v>134</v>
      </c>
      <c r="K29" s="114"/>
      <c r="L29" s="26"/>
      <c r="M29" s="5"/>
    </row>
    <row r="30" spans="1:13" ht="24">
      <c r="A30" s="4"/>
      <c r="H30" s="113" t="s">
        <v>3</v>
      </c>
      <c r="I30" s="114"/>
      <c r="J30" s="114" t="s">
        <v>134</v>
      </c>
      <c r="K30" s="114"/>
      <c r="L30" s="26"/>
      <c r="M30" s="5"/>
    </row>
    <row r="31" spans="1:13" ht="24">
      <c r="A31" s="4"/>
      <c r="H31" s="113" t="s">
        <v>19</v>
      </c>
      <c r="I31" s="114"/>
      <c r="J31" s="114" t="s">
        <v>134</v>
      </c>
      <c r="K31" s="114"/>
      <c r="L31" s="26"/>
      <c r="M31" s="5"/>
    </row>
    <row r="32" spans="1:13">
      <c r="A32" s="4"/>
      <c r="M32" s="5"/>
    </row>
    <row r="33" spans="1:13">
      <c r="A33" s="4"/>
      <c r="M33" s="5"/>
    </row>
    <row r="34" spans="1:13">
      <c r="A34" s="4"/>
      <c r="M34" s="5"/>
    </row>
    <row r="35" spans="1:13">
      <c r="A35" s="4"/>
      <c r="M35" s="5"/>
    </row>
    <row r="36" spans="1:13">
      <c r="A36" s="4"/>
      <c r="M36" s="5"/>
    </row>
    <row r="37" spans="1:13">
      <c r="A37" s="4"/>
      <c r="M37" s="5"/>
    </row>
    <row r="38" spans="1:13">
      <c r="A38" s="4"/>
      <c r="M38" s="5"/>
    </row>
    <row r="39" spans="1:13">
      <c r="A39" s="4"/>
      <c r="M39" s="5"/>
    </row>
    <row r="40" spans="1:13">
      <c r="A40" s="4"/>
      <c r="M40" s="5"/>
    </row>
    <row r="41" spans="1:13">
      <c r="A41" s="4"/>
      <c r="M41" s="5"/>
    </row>
    <row r="42" spans="1:13">
      <c r="A42" s="4"/>
      <c r="M42" s="5"/>
    </row>
    <row r="43" spans="1:13">
      <c r="A43" s="4"/>
      <c r="M43" s="5"/>
    </row>
    <row r="44" spans="1:13">
      <c r="A44" s="4"/>
      <c r="M44" s="5"/>
    </row>
    <row r="45" spans="1:13">
      <c r="A45" s="4"/>
      <c r="M45" s="5"/>
    </row>
    <row r="46" spans="1:13">
      <c r="A46" s="4"/>
      <c r="M46" s="5"/>
    </row>
    <row r="47" spans="1:13" ht="15" thickBot="1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8"/>
    </row>
  </sheetData>
  <mergeCells count="1">
    <mergeCell ref="A22:M26"/>
  </mergeCells>
  <pageMargins left="0.41666666666666669" right="0.38541666666666669" top="0.47916666666666669" bottom="0.40625" header="0.10416666666666667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showGridLines="0" zoomScaleNormal="100" workbookViewId="0">
      <selection activeCell="K13" sqref="K13"/>
    </sheetView>
  </sheetViews>
  <sheetFormatPr defaultRowHeight="14.25"/>
  <cols>
    <col min="1" max="1" width="3.625" bestFit="1" customWidth="1"/>
    <col min="2" max="2" width="8.75" customWidth="1"/>
    <col min="3" max="3" width="44.625" customWidth="1"/>
    <col min="4" max="4" width="9.75" bestFit="1" customWidth="1"/>
    <col min="5" max="5" width="7.75" bestFit="1" customWidth="1"/>
    <col min="6" max="6" width="22.375" customWidth="1"/>
  </cols>
  <sheetData>
    <row r="1" spans="1:6" ht="23.25">
      <c r="A1" s="138" t="s">
        <v>10</v>
      </c>
      <c r="B1" s="138"/>
      <c r="C1" s="138"/>
      <c r="D1" s="138"/>
      <c r="E1" s="138"/>
      <c r="F1" s="138"/>
    </row>
    <row r="2" spans="1:6" ht="9" customHeight="1">
      <c r="A2" s="94"/>
      <c r="B2" s="94"/>
      <c r="C2" s="94"/>
      <c r="D2" s="94"/>
      <c r="E2" s="94"/>
      <c r="F2" s="94"/>
    </row>
    <row r="3" spans="1:6">
      <c r="A3" s="104" t="s">
        <v>7</v>
      </c>
      <c r="B3" s="95"/>
      <c r="C3" s="96"/>
      <c r="D3" s="97"/>
      <c r="E3" s="97"/>
      <c r="F3" s="97"/>
    </row>
    <row r="4" spans="1:6">
      <c r="A4" s="105" t="s">
        <v>25</v>
      </c>
      <c r="B4" s="97"/>
      <c r="C4" s="98"/>
      <c r="D4" s="97"/>
      <c r="E4" s="97"/>
      <c r="F4" s="97"/>
    </row>
    <row r="5" spans="1:6">
      <c r="A5" s="106" t="s">
        <v>26</v>
      </c>
      <c r="B5" s="99"/>
      <c r="C5" s="100"/>
      <c r="D5" s="97"/>
      <c r="E5" s="97"/>
      <c r="F5" s="97"/>
    </row>
    <row r="6" spans="1:6">
      <c r="A6" s="97"/>
      <c r="B6" s="97"/>
      <c r="C6" s="97"/>
      <c r="D6" s="97"/>
      <c r="E6" s="97"/>
      <c r="F6" s="97"/>
    </row>
    <row r="7" spans="1:6">
      <c r="A7" s="107" t="s">
        <v>0</v>
      </c>
      <c r="B7" s="108" t="s">
        <v>1</v>
      </c>
      <c r="C7" s="108" t="s">
        <v>2</v>
      </c>
      <c r="D7" s="108" t="s">
        <v>18</v>
      </c>
      <c r="E7" s="108" t="s">
        <v>6</v>
      </c>
      <c r="F7" s="108" t="s">
        <v>4</v>
      </c>
    </row>
    <row r="8" spans="1:6">
      <c r="A8" s="109">
        <v>1</v>
      </c>
      <c r="B8" s="110">
        <v>45924</v>
      </c>
      <c r="C8" s="111" t="s">
        <v>5</v>
      </c>
      <c r="D8" s="109" t="s">
        <v>140</v>
      </c>
      <c r="E8" s="109" t="s">
        <v>9</v>
      </c>
      <c r="F8" s="112"/>
    </row>
    <row r="9" spans="1:6">
      <c r="A9" s="101"/>
      <c r="B9" s="103"/>
      <c r="C9" s="102"/>
      <c r="D9" s="101"/>
      <c r="E9" s="102"/>
      <c r="F9" s="102"/>
    </row>
    <row r="10" spans="1:6">
      <c r="A10" s="101"/>
      <c r="B10" s="103"/>
      <c r="C10" s="102"/>
      <c r="D10" s="101"/>
      <c r="E10" s="102"/>
      <c r="F10" s="102"/>
    </row>
    <row r="11" spans="1:6">
      <c r="A11" s="101"/>
      <c r="B11" s="103"/>
      <c r="C11" s="102"/>
      <c r="D11" s="101"/>
      <c r="E11" s="102"/>
      <c r="F11" s="102"/>
    </row>
    <row r="12" spans="1:6">
      <c r="A12" s="101"/>
      <c r="B12" s="103"/>
      <c r="C12" s="102"/>
      <c r="D12" s="101"/>
      <c r="E12" s="102"/>
      <c r="F12" s="102"/>
    </row>
    <row r="13" spans="1:6">
      <c r="A13" s="101"/>
      <c r="B13" s="103"/>
      <c r="C13" s="102"/>
      <c r="D13" s="101"/>
      <c r="E13" s="102"/>
      <c r="F13" s="102"/>
    </row>
    <row r="14" spans="1:6">
      <c r="A14" s="101"/>
      <c r="B14" s="103"/>
      <c r="C14" s="102"/>
      <c r="D14" s="101"/>
      <c r="E14" s="102"/>
      <c r="F14" s="102"/>
    </row>
    <row r="15" spans="1:6">
      <c r="A15" s="101"/>
      <c r="B15" s="103"/>
      <c r="C15" s="102"/>
      <c r="D15" s="101"/>
      <c r="E15" s="102"/>
      <c r="F15" s="102"/>
    </row>
    <row r="16" spans="1:6">
      <c r="A16" s="101"/>
      <c r="B16" s="103"/>
      <c r="C16" s="102"/>
      <c r="D16" s="101"/>
      <c r="E16" s="102"/>
      <c r="F16" s="102"/>
    </row>
    <row r="17" spans="1:6">
      <c r="A17" s="101"/>
      <c r="B17" s="103"/>
      <c r="C17" s="102"/>
      <c r="D17" s="101"/>
      <c r="E17" s="102"/>
      <c r="F17" s="102"/>
    </row>
    <row r="18" spans="1:6">
      <c r="A18" s="101"/>
      <c r="B18" s="103"/>
      <c r="C18" s="102"/>
      <c r="D18" s="101"/>
      <c r="E18" s="102"/>
      <c r="F18" s="102"/>
    </row>
    <row r="19" spans="1:6">
      <c r="A19" s="102"/>
      <c r="B19" s="102"/>
      <c r="C19" s="102"/>
      <c r="D19" s="101"/>
      <c r="E19" s="102"/>
      <c r="F19" s="102"/>
    </row>
    <row r="20" spans="1:6">
      <c r="A20" s="102"/>
      <c r="B20" s="102"/>
      <c r="C20" s="102"/>
      <c r="D20" s="101"/>
      <c r="E20" s="102"/>
      <c r="F20" s="102"/>
    </row>
    <row r="21" spans="1:6">
      <c r="A21" s="97"/>
      <c r="B21" s="97"/>
      <c r="C21" s="97"/>
      <c r="D21" s="97"/>
      <c r="E21" s="97"/>
      <c r="F21" s="97"/>
    </row>
    <row r="22" spans="1:6">
      <c r="A22" s="97"/>
      <c r="B22" s="97"/>
      <c r="C22" s="97"/>
      <c r="D22" s="97"/>
      <c r="E22" s="97"/>
      <c r="F22" s="97"/>
    </row>
    <row r="23" spans="1:6">
      <c r="A23" s="97"/>
      <c r="B23" s="97"/>
      <c r="C23" s="97"/>
      <c r="D23" s="97"/>
      <c r="E23" s="97"/>
      <c r="F23" s="97"/>
    </row>
    <row r="24" spans="1:6">
      <c r="A24" s="97"/>
      <c r="B24" s="97"/>
      <c r="C24" s="97"/>
      <c r="D24" s="97"/>
      <c r="E24" s="97"/>
      <c r="F24" s="97"/>
    </row>
    <row r="25" spans="1:6">
      <c r="A25" s="97"/>
      <c r="B25" s="97"/>
      <c r="C25" s="97"/>
      <c r="D25" s="97"/>
      <c r="E25" s="97"/>
      <c r="F25" s="97"/>
    </row>
    <row r="26" spans="1:6">
      <c r="A26" s="97"/>
      <c r="B26" s="97"/>
      <c r="C26" s="97"/>
      <c r="D26" s="97"/>
      <c r="E26" s="97"/>
      <c r="F26" s="97"/>
    </row>
    <row r="27" spans="1:6">
      <c r="A27" s="97"/>
      <c r="B27" s="97"/>
      <c r="C27" s="97"/>
      <c r="D27" s="97"/>
      <c r="E27" s="97"/>
      <c r="F27" s="97"/>
    </row>
    <row r="28" spans="1:6">
      <c r="A28" s="97"/>
      <c r="B28" s="97"/>
      <c r="C28" s="97"/>
      <c r="D28" s="97"/>
      <c r="E28" s="97"/>
      <c r="F28" s="97"/>
    </row>
    <row r="29" spans="1:6">
      <c r="A29" s="97"/>
      <c r="B29" s="97"/>
      <c r="C29" s="97"/>
      <c r="D29" s="97"/>
      <c r="E29" s="97"/>
      <c r="F29" s="97"/>
    </row>
    <row r="30" spans="1:6">
      <c r="A30" s="97"/>
      <c r="B30" s="97"/>
      <c r="C30" s="97"/>
      <c r="D30" s="97"/>
      <c r="E30" s="97"/>
      <c r="F30" s="97"/>
    </row>
    <row r="31" spans="1:6">
      <c r="A31" s="97"/>
      <c r="B31" s="97"/>
      <c r="C31" s="97"/>
      <c r="D31" s="97"/>
      <c r="E31" s="97"/>
      <c r="F31" s="97"/>
    </row>
    <row r="32" spans="1:6">
      <c r="A32" s="97"/>
      <c r="B32" s="97"/>
      <c r="C32" s="97"/>
      <c r="D32" s="97"/>
      <c r="E32" s="97"/>
      <c r="F32" s="97"/>
    </row>
    <row r="33" spans="1:6">
      <c r="A33" s="97"/>
      <c r="B33" s="97"/>
      <c r="C33" s="97"/>
      <c r="D33" s="97"/>
      <c r="E33" s="97"/>
      <c r="F33" s="97"/>
    </row>
    <row r="34" spans="1:6">
      <c r="A34" s="97"/>
      <c r="B34" s="97"/>
      <c r="C34" s="97"/>
      <c r="D34" s="97"/>
      <c r="E34" s="97"/>
      <c r="F34" s="97"/>
    </row>
    <row r="35" spans="1:6">
      <c r="A35" s="97"/>
      <c r="B35" s="97"/>
      <c r="C35" s="97"/>
      <c r="D35" s="97"/>
      <c r="E35" s="97"/>
      <c r="F35" s="97"/>
    </row>
    <row r="36" spans="1:6">
      <c r="A36" s="97"/>
      <c r="B36" s="97"/>
      <c r="C36" s="97"/>
      <c r="D36" s="97"/>
      <c r="E36" s="97"/>
      <c r="F36" s="97"/>
    </row>
    <row r="37" spans="1:6">
      <c r="A37" s="97"/>
      <c r="B37" s="97"/>
      <c r="C37" s="97"/>
      <c r="D37" s="97"/>
      <c r="E37" s="97"/>
      <c r="F37" s="97"/>
    </row>
    <row r="38" spans="1:6">
      <c r="A38" s="97"/>
      <c r="B38" s="97"/>
      <c r="C38" s="97"/>
      <c r="D38" s="97"/>
      <c r="E38" s="97"/>
      <c r="F38" s="97"/>
    </row>
    <row r="39" spans="1:6">
      <c r="A39" s="97"/>
      <c r="B39" s="97"/>
      <c r="C39" s="97"/>
      <c r="D39" s="97"/>
      <c r="E39" s="97"/>
      <c r="F39" s="97"/>
    </row>
    <row r="40" spans="1:6">
      <c r="A40" s="97"/>
      <c r="B40" s="97"/>
      <c r="C40" s="97"/>
      <c r="D40" s="97"/>
      <c r="E40" s="97"/>
      <c r="F40" s="97"/>
    </row>
    <row r="41" spans="1:6">
      <c r="A41" s="97"/>
      <c r="B41" s="97"/>
      <c r="C41" s="97"/>
      <c r="D41" s="97"/>
      <c r="E41" s="97"/>
      <c r="F41" s="97"/>
    </row>
    <row r="42" spans="1:6">
      <c r="A42" s="97"/>
      <c r="B42" s="97"/>
      <c r="C42" s="97"/>
      <c r="D42" s="97"/>
      <c r="E42" s="97"/>
      <c r="F42" s="97"/>
    </row>
    <row r="43" spans="1:6">
      <c r="A43" s="97"/>
      <c r="B43" s="97"/>
      <c r="C43" s="97"/>
      <c r="D43" s="97"/>
      <c r="E43" s="97"/>
      <c r="F43" s="97"/>
    </row>
    <row r="44" spans="1:6">
      <c r="A44" s="97"/>
      <c r="B44" s="97"/>
      <c r="C44" s="97"/>
      <c r="D44" s="97"/>
      <c r="E44" s="97"/>
      <c r="F44" s="97"/>
    </row>
    <row r="45" spans="1:6">
      <c r="A45" s="97"/>
      <c r="B45" s="97"/>
      <c r="C45" s="97"/>
      <c r="D45" s="97"/>
      <c r="E45" s="97"/>
      <c r="F45" s="97"/>
    </row>
    <row r="46" spans="1:6">
      <c r="A46" s="97"/>
      <c r="B46" s="97"/>
      <c r="C46" s="97"/>
      <c r="D46" s="97"/>
      <c r="E46" s="97"/>
      <c r="F46" s="97"/>
    </row>
    <row r="47" spans="1:6">
      <c r="A47" s="97"/>
      <c r="B47" s="97"/>
      <c r="C47" s="97"/>
      <c r="D47" s="97"/>
      <c r="E47" s="97"/>
      <c r="F47" s="97"/>
    </row>
  </sheetData>
  <dataConsolidate/>
  <mergeCells count="1">
    <mergeCell ref="A1:F1"/>
  </mergeCells>
  <pageMargins left="0.23622047244094491" right="0.31496062992125984" top="0.74803149606299213" bottom="0.74803149606299213" header="0.31496062992125984" footer="0.31496062992125984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I15"/>
  <sheetViews>
    <sheetView showGridLines="0" zoomScaleNormal="100" zoomScalePageLayoutView="130" workbookViewId="0">
      <selection activeCell="F27" sqref="F27"/>
    </sheetView>
  </sheetViews>
  <sheetFormatPr defaultColWidth="8.75" defaultRowHeight="18.75"/>
  <cols>
    <col min="1" max="1" width="3.375" style="11" customWidth="1"/>
    <col min="2" max="2" width="9.25" style="11" customWidth="1"/>
    <col min="3" max="3" width="21.5" style="11" customWidth="1"/>
    <col min="4" max="4" width="13.625" style="11" customWidth="1"/>
    <col min="5" max="5" width="13.25" style="11" customWidth="1"/>
    <col min="6" max="6" width="16.5" style="11" customWidth="1"/>
    <col min="7" max="7" width="19.5" style="11" customWidth="1"/>
    <col min="8" max="8" width="18.75" style="11" customWidth="1"/>
    <col min="9" max="9" width="56.625" style="11" customWidth="1"/>
    <col min="10" max="10" width="26.125" style="11" customWidth="1"/>
    <col min="11" max="11" width="18.625" style="11" customWidth="1"/>
    <col min="12" max="12" width="8.875" style="11" bestFit="1" customWidth="1"/>
    <col min="13" max="13" width="6" style="11" customWidth="1"/>
    <col min="14" max="16384" width="8.75" style="11"/>
  </cols>
  <sheetData>
    <row r="1" spans="2:9" ht="30">
      <c r="B1" s="85" t="s">
        <v>14</v>
      </c>
      <c r="C1" s="20"/>
      <c r="D1" s="20"/>
      <c r="E1" s="20"/>
      <c r="F1" s="20"/>
      <c r="G1" s="20"/>
      <c r="H1" s="20"/>
      <c r="I1" s="20"/>
    </row>
    <row r="2" spans="2:9" ht="8.65" customHeight="1">
      <c r="B2" s="12"/>
      <c r="C2" s="12"/>
      <c r="D2" s="12"/>
      <c r="E2" s="12"/>
      <c r="F2" s="12"/>
      <c r="G2" s="12"/>
    </row>
    <row r="3" spans="2:9" ht="15" customHeight="1">
      <c r="B3" s="104" t="s">
        <v>7</v>
      </c>
      <c r="C3" s="15"/>
      <c r="D3" s="15"/>
      <c r="E3" s="15"/>
      <c r="F3" s="15"/>
      <c r="G3" s="16"/>
    </row>
    <row r="4" spans="2:9" ht="15" customHeight="1">
      <c r="B4" s="105" t="s">
        <v>16</v>
      </c>
      <c r="G4" s="17"/>
    </row>
    <row r="5" spans="2:9" ht="15" customHeight="1">
      <c r="B5" s="115" t="s">
        <v>15</v>
      </c>
      <c r="G5" s="17"/>
    </row>
    <row r="6" spans="2:9" ht="15" customHeight="1">
      <c r="B6" s="106"/>
      <c r="C6" s="18"/>
      <c r="D6" s="18"/>
      <c r="E6" s="18"/>
      <c r="F6" s="18"/>
      <c r="G6" s="19"/>
    </row>
    <row r="7" spans="2:9" ht="15" customHeight="1">
      <c r="B7" s="14"/>
    </row>
    <row r="8" spans="2:9" ht="15" customHeight="1" thickBot="1">
      <c r="B8" s="25"/>
      <c r="C8" s="25"/>
      <c r="D8" s="25"/>
      <c r="E8" s="25"/>
      <c r="F8" s="14"/>
      <c r="G8" s="14"/>
    </row>
    <row r="9" spans="2:9" ht="15" customHeight="1">
      <c r="B9" s="139" t="s">
        <v>35</v>
      </c>
      <c r="C9" s="140"/>
      <c r="D9" s="140"/>
      <c r="E9" s="140"/>
      <c r="F9" s="140"/>
      <c r="G9" s="140"/>
      <c r="H9" s="140"/>
      <c r="I9" s="140"/>
    </row>
    <row r="10" spans="2:9" ht="15" customHeight="1">
      <c r="B10" s="117" t="s">
        <v>11</v>
      </c>
      <c r="C10" s="118" t="s">
        <v>170</v>
      </c>
      <c r="D10" s="118" t="s">
        <v>6</v>
      </c>
      <c r="E10" s="133" t="s">
        <v>125</v>
      </c>
      <c r="F10" s="118" t="s">
        <v>60</v>
      </c>
      <c r="G10" s="118" t="s">
        <v>61</v>
      </c>
      <c r="H10" s="118" t="s">
        <v>139</v>
      </c>
      <c r="I10" s="119" t="s">
        <v>4</v>
      </c>
    </row>
    <row r="11" spans="2:9" ht="15" customHeight="1">
      <c r="B11" s="120" t="s">
        <v>13</v>
      </c>
      <c r="C11" s="121" t="s">
        <v>167</v>
      </c>
      <c r="D11" s="121"/>
      <c r="E11" s="121"/>
      <c r="F11" s="134">
        <f>'6.Testlist'!H7</f>
        <v>21</v>
      </c>
      <c r="G11" s="134">
        <f>'6.Testlist'!I7</f>
        <v>15</v>
      </c>
      <c r="H11" s="134">
        <f>F11-G11</f>
        <v>6</v>
      </c>
      <c r="I11" s="121"/>
    </row>
    <row r="12" spans="2:9" ht="15" customHeight="1">
      <c r="B12" s="120" t="s">
        <v>36</v>
      </c>
      <c r="C12" s="121" t="s">
        <v>168</v>
      </c>
      <c r="D12" s="121"/>
      <c r="E12" s="121"/>
      <c r="F12" s="134">
        <f>'6.Testlist'!L7</f>
        <v>19</v>
      </c>
      <c r="G12" s="134">
        <f>'6.Testlist'!M7</f>
        <v>14</v>
      </c>
      <c r="H12" s="134">
        <f t="shared" ref="H12:H13" si="0">F12-G12</f>
        <v>5</v>
      </c>
      <c r="I12" s="121"/>
    </row>
    <row r="13" spans="2:9" ht="15" customHeight="1">
      <c r="B13" s="120" t="s">
        <v>37</v>
      </c>
      <c r="C13" s="121" t="s">
        <v>166</v>
      </c>
      <c r="D13" s="121"/>
      <c r="E13" s="121"/>
      <c r="F13" s="134">
        <f>'6.Testlist'!P7</f>
        <v>19</v>
      </c>
      <c r="G13" s="134">
        <f>'6.Testlist'!Q7</f>
        <v>11</v>
      </c>
      <c r="H13" s="134">
        <f t="shared" si="0"/>
        <v>8</v>
      </c>
      <c r="I13" s="121"/>
    </row>
    <row r="14" spans="2:9" ht="15" customHeight="1"/>
    <row r="15" spans="2:9" ht="15" customHeight="1"/>
  </sheetData>
  <mergeCells count="1">
    <mergeCell ref="B9:I9"/>
  </mergeCells>
  <phoneticPr fontId="10" type="noConversion"/>
  <dataValidations disablePrompts="1" count="1">
    <dataValidation type="list" allowBlank="1" showInputMessage="1" showErrorMessage="1" sqref="B11:B13" xr:uid="{E714E0D5-7B20-41AE-B163-303A99923A3F}">
      <formula1>"Done,On Going, Not yet"</formula1>
    </dataValidation>
  </dataValidations>
  <pageMargins left="0.36458333333333331" right="0.31862745098039214" top="0.73958333333333337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BEA4-F2DA-4787-A03E-3C883F540503}">
  <sheetPr>
    <pageSetUpPr fitToPage="1"/>
  </sheetPr>
  <dimension ref="A1:I27"/>
  <sheetViews>
    <sheetView showGridLines="0" zoomScaleNormal="100" zoomScaleSheetLayoutView="115" workbookViewId="0">
      <selection activeCell="C20" sqref="C20"/>
    </sheetView>
  </sheetViews>
  <sheetFormatPr defaultColWidth="9" defaultRowHeight="12.75"/>
  <cols>
    <col min="1" max="1" width="2.75" style="53" customWidth="1"/>
    <col min="2" max="2" width="20.75" style="53" bestFit="1" customWidth="1"/>
    <col min="3" max="3" width="37" style="53" customWidth="1"/>
    <col min="4" max="4" width="21" style="53" customWidth="1"/>
    <col min="5" max="16384" width="9" style="53"/>
  </cols>
  <sheetData>
    <row r="1" spans="1:9" ht="30">
      <c r="A1" s="28"/>
      <c r="B1" s="85" t="s">
        <v>124</v>
      </c>
      <c r="C1" s="20"/>
      <c r="D1" s="20"/>
      <c r="E1" s="56"/>
      <c r="F1" s="56"/>
      <c r="G1" s="56"/>
      <c r="H1" s="56"/>
      <c r="I1" s="56"/>
    </row>
    <row r="3" spans="1:9">
      <c r="B3" s="86" t="s">
        <v>137</v>
      </c>
      <c r="C3" s="54"/>
      <c r="D3" s="87"/>
    </row>
    <row r="4" spans="1:9">
      <c r="B4" s="126" t="s">
        <v>86</v>
      </c>
      <c r="C4" s="127" t="s">
        <v>87</v>
      </c>
      <c r="D4" s="126" t="s">
        <v>88</v>
      </c>
    </row>
    <row r="5" spans="1:9">
      <c r="B5" s="88" t="s">
        <v>89</v>
      </c>
      <c r="C5" s="89" t="s">
        <v>90</v>
      </c>
      <c r="D5" s="90" t="s">
        <v>91</v>
      </c>
    </row>
    <row r="6" spans="1:9">
      <c r="B6" s="88" t="s">
        <v>92</v>
      </c>
      <c r="C6" s="89" t="s">
        <v>93</v>
      </c>
      <c r="D6" s="90" t="s">
        <v>94</v>
      </c>
    </row>
    <row r="7" spans="1:9">
      <c r="B7" s="91" t="s">
        <v>95</v>
      </c>
      <c r="C7" s="89" t="s">
        <v>96</v>
      </c>
      <c r="D7" s="90" t="s">
        <v>97</v>
      </c>
    </row>
    <row r="8" spans="1:9">
      <c r="B8" s="87"/>
      <c r="C8" s="87"/>
      <c r="D8" s="87"/>
    </row>
    <row r="9" spans="1:9">
      <c r="B9" s="86" t="s">
        <v>136</v>
      </c>
      <c r="C9" s="54"/>
      <c r="D9" s="55"/>
    </row>
    <row r="10" spans="1:9">
      <c r="B10" s="126" t="s">
        <v>98</v>
      </c>
      <c r="C10" s="127" t="s">
        <v>87</v>
      </c>
      <c r="D10" s="126" t="s">
        <v>88</v>
      </c>
    </row>
    <row r="11" spans="1:9">
      <c r="B11" s="92" t="s">
        <v>99</v>
      </c>
      <c r="C11" s="89" t="s">
        <v>100</v>
      </c>
      <c r="D11" s="90"/>
    </row>
    <row r="12" spans="1:9">
      <c r="B12" s="92" t="s">
        <v>101</v>
      </c>
      <c r="C12" s="89" t="s">
        <v>102</v>
      </c>
      <c r="D12" s="90"/>
    </row>
    <row r="13" spans="1:9">
      <c r="B13" s="92" t="s">
        <v>103</v>
      </c>
      <c r="C13" s="89" t="s">
        <v>104</v>
      </c>
      <c r="D13" s="90"/>
    </row>
    <row r="14" spans="1:9">
      <c r="B14" s="92" t="s">
        <v>105</v>
      </c>
      <c r="C14" s="89" t="s">
        <v>106</v>
      </c>
      <c r="D14" s="90"/>
    </row>
    <row r="15" spans="1:9">
      <c r="B15" s="92" t="s">
        <v>107</v>
      </c>
      <c r="C15" s="89" t="s">
        <v>108</v>
      </c>
      <c r="D15" s="90"/>
    </row>
    <row r="16" spans="1:9">
      <c r="B16" s="92" t="s">
        <v>110</v>
      </c>
      <c r="C16" s="89" t="s">
        <v>111</v>
      </c>
      <c r="D16" s="90"/>
    </row>
    <row r="17" spans="2:4">
      <c r="B17" s="92" t="s">
        <v>162</v>
      </c>
      <c r="C17" s="89" t="s">
        <v>112</v>
      </c>
      <c r="D17" s="90"/>
    </row>
    <row r="18" spans="2:4">
      <c r="B18" s="92" t="s">
        <v>113</v>
      </c>
      <c r="C18" s="89" t="s">
        <v>114</v>
      </c>
      <c r="D18" s="90"/>
    </row>
    <row r="19" spans="2:4">
      <c r="B19" s="92" t="s">
        <v>115</v>
      </c>
      <c r="C19" s="89" t="s">
        <v>116</v>
      </c>
      <c r="D19" s="90"/>
    </row>
    <row r="20" spans="2:4">
      <c r="B20" s="92" t="s">
        <v>117</v>
      </c>
      <c r="C20" s="89" t="s">
        <v>118</v>
      </c>
      <c r="D20" s="90"/>
    </row>
    <row r="21" spans="2:4">
      <c r="B21" s="92" t="s">
        <v>119</v>
      </c>
      <c r="C21" s="89" t="s">
        <v>120</v>
      </c>
      <c r="D21" s="90"/>
    </row>
    <row r="22" spans="2:4">
      <c r="B22" s="87"/>
      <c r="C22" s="87"/>
      <c r="D22" s="87"/>
    </row>
    <row r="23" spans="2:4">
      <c r="B23" s="86" t="s">
        <v>135</v>
      </c>
      <c r="C23" s="87"/>
      <c r="D23" s="87"/>
    </row>
    <row r="24" spans="2:4">
      <c r="B24" s="126" t="s">
        <v>109</v>
      </c>
      <c r="C24" s="127" t="s">
        <v>87</v>
      </c>
      <c r="D24" s="126" t="s">
        <v>88</v>
      </c>
    </row>
    <row r="25" spans="2:4">
      <c r="B25" s="92" t="s">
        <v>55</v>
      </c>
      <c r="C25" s="89" t="s">
        <v>121</v>
      </c>
      <c r="D25" s="90"/>
    </row>
    <row r="26" spans="2:4">
      <c r="B26" s="92" t="s">
        <v>56</v>
      </c>
      <c r="C26" s="89" t="s">
        <v>122</v>
      </c>
      <c r="D26" s="90"/>
    </row>
    <row r="27" spans="2:4">
      <c r="B27" s="92" t="s">
        <v>57</v>
      </c>
      <c r="C27" s="93" t="s">
        <v>123</v>
      </c>
      <c r="D27" s="90"/>
    </row>
  </sheetData>
  <pageMargins left="0.7" right="0.7" top="0.75" bottom="0.75" header="0.3" footer="0.3"/>
  <pageSetup paperSize="9" scale="9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1473-ACBB-4696-A5D5-B124B1E82832}">
  <dimension ref="A2:I12"/>
  <sheetViews>
    <sheetView zoomScale="115" zoomScaleNormal="115" zoomScaleSheetLayoutView="115" workbookViewId="0">
      <pane ySplit="4" topLeftCell="A5" activePane="bottomLeft" state="frozen"/>
      <selection pane="bottomLeft" activeCell="C17" sqref="C17"/>
    </sheetView>
  </sheetViews>
  <sheetFormatPr defaultColWidth="8.875" defaultRowHeight="12.75" outlineLevelRow="1"/>
  <cols>
    <col min="1" max="1" width="2.75" style="27" customWidth="1"/>
    <col min="2" max="3" width="14.75" style="27" customWidth="1"/>
    <col min="4" max="4" width="12.625" style="27" bestFit="1" customWidth="1"/>
    <col min="5" max="5" width="12.625" style="27" customWidth="1"/>
    <col min="6" max="6" width="47.75" style="27" customWidth="1"/>
    <col min="7" max="7" width="41" style="27" customWidth="1"/>
    <col min="8" max="8" width="10.875" style="27" bestFit="1" customWidth="1"/>
    <col min="9" max="16384" width="8.875" style="27"/>
  </cols>
  <sheetData>
    <row r="2" spans="1:9" s="22" customFormat="1" ht="30">
      <c r="B2" s="20" t="s">
        <v>34</v>
      </c>
      <c r="C2" s="20"/>
      <c r="D2" s="20"/>
      <c r="E2" s="20"/>
      <c r="F2" s="20"/>
      <c r="G2" s="20"/>
      <c r="H2" s="20"/>
      <c r="I2" s="20"/>
    </row>
    <row r="3" spans="1:9">
      <c r="A3" s="30"/>
    </row>
    <row r="4" spans="1:9" s="31" customFormat="1">
      <c r="B4" s="124" t="s">
        <v>51</v>
      </c>
      <c r="C4" s="125" t="s">
        <v>52</v>
      </c>
      <c r="D4" s="125" t="s">
        <v>53</v>
      </c>
      <c r="E4" s="125" t="s">
        <v>54</v>
      </c>
      <c r="F4" s="125" t="s">
        <v>39</v>
      </c>
      <c r="G4" s="125" t="s">
        <v>31</v>
      </c>
    </row>
    <row r="5" spans="1:9" s="32" customFormat="1" ht="25.5" outlineLevel="1">
      <c r="B5" s="33" t="s">
        <v>40</v>
      </c>
      <c r="C5" s="34" t="s">
        <v>41</v>
      </c>
      <c r="D5" s="35" t="s">
        <v>38</v>
      </c>
      <c r="E5" s="35" t="s">
        <v>38</v>
      </c>
      <c r="F5" s="36" t="s">
        <v>161</v>
      </c>
      <c r="G5" s="36"/>
    </row>
    <row r="6" spans="1:9" s="32" customFormat="1" ht="25.5" outlineLevel="1">
      <c r="B6" s="37"/>
      <c r="C6" s="34" t="s">
        <v>42</v>
      </c>
      <c r="D6" s="35" t="s">
        <v>38</v>
      </c>
      <c r="E6" s="35" t="s">
        <v>38</v>
      </c>
      <c r="F6" s="36" t="s">
        <v>160</v>
      </c>
      <c r="G6" s="36"/>
    </row>
    <row r="7" spans="1:9" ht="12" customHeight="1"/>
    <row r="8" spans="1:9" s="32" customFormat="1" ht="25.5" outlineLevel="1">
      <c r="B8" s="33" t="s">
        <v>43</v>
      </c>
      <c r="C8" s="33" t="s">
        <v>44</v>
      </c>
      <c r="D8" s="35" t="s">
        <v>45</v>
      </c>
      <c r="E8" s="35" t="s">
        <v>38</v>
      </c>
      <c r="F8" s="36" t="s">
        <v>46</v>
      </c>
      <c r="G8" s="36"/>
    </row>
    <row r="9" spans="1:9" s="32" customFormat="1" ht="25.5" outlineLevel="1">
      <c r="B9" s="38"/>
      <c r="C9" s="37"/>
      <c r="D9" s="35" t="s">
        <v>47</v>
      </c>
      <c r="E9" s="35" t="s">
        <v>38</v>
      </c>
      <c r="F9" s="39"/>
      <c r="G9" s="36"/>
    </row>
    <row r="10" spans="1:9" s="32" customFormat="1" ht="25.5" outlineLevel="1">
      <c r="B10" s="38"/>
      <c r="C10" s="33" t="s">
        <v>48</v>
      </c>
      <c r="D10" s="35" t="s">
        <v>49</v>
      </c>
      <c r="E10" s="35" t="s">
        <v>38</v>
      </c>
      <c r="F10" s="39"/>
      <c r="G10" s="36"/>
    </row>
    <row r="11" spans="1:9" s="32" customFormat="1" ht="25.5" outlineLevel="1">
      <c r="B11" s="37"/>
      <c r="C11" s="37"/>
      <c r="D11" s="35" t="s">
        <v>50</v>
      </c>
      <c r="E11" s="35" t="s">
        <v>38</v>
      </c>
      <c r="F11" s="39"/>
      <c r="G11" s="36"/>
    </row>
    <row r="12" spans="1:9" ht="8.25" customHeight="1"/>
  </sheetData>
  <conditionalFormatting sqref="B5:F6 B8:C11 E8:F11 B12:F2880">
    <cfRule type="expression" dxfId="5" priority="1">
      <formula>B5="-"</formula>
    </cfRule>
  </conditionalFormatting>
  <conditionalFormatting sqref="D8:D9">
    <cfRule type="expression" dxfId="4" priority="2">
      <formula>D8="-"</formula>
    </cfRule>
  </conditionalFormatting>
  <pageMargins left="0" right="0" top="0" bottom="0.25" header="0" footer="0"/>
  <pageSetup paperSize="9" scale="6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84300-B570-4914-B6C9-6F72F4AFED25}">
  <dimension ref="A2:AA13"/>
  <sheetViews>
    <sheetView zoomScaleNormal="100" zoomScaleSheetLayoutView="100" workbookViewId="0">
      <pane ySplit="7" topLeftCell="A8" activePane="bottomLeft" state="frozen"/>
      <selection pane="bottomLeft" activeCell="U8" sqref="U8"/>
    </sheetView>
  </sheetViews>
  <sheetFormatPr defaultColWidth="8.875" defaultRowHeight="12.75"/>
  <cols>
    <col min="1" max="1" width="2.75" style="40" customWidth="1"/>
    <col min="2" max="2" width="20.875" style="40" customWidth="1"/>
    <col min="3" max="3" width="9.875" style="40" customWidth="1"/>
    <col min="4" max="4" width="38.375" style="40" customWidth="1"/>
    <col min="5" max="5" width="11.75" style="41" bestFit="1" customWidth="1"/>
    <col min="6" max="6" width="12.625" style="41" customWidth="1"/>
    <col min="7" max="7" width="16.75" style="41" bestFit="1" customWidth="1"/>
    <col min="8" max="8" width="12.625" style="42" customWidth="1"/>
    <col min="9" max="9" width="14.125" style="42" customWidth="1"/>
    <col min="10" max="10" width="11.625" style="41" customWidth="1"/>
    <col min="11" max="11" width="11.625" style="41" bestFit="1" customWidth="1"/>
    <col min="12" max="19" width="11.625" style="41" customWidth="1"/>
    <col min="20" max="20" width="15.25" style="41" bestFit="1" customWidth="1"/>
    <col min="21" max="21" width="20.75" style="41" customWidth="1"/>
    <col min="22" max="16384" width="8.875" style="40"/>
  </cols>
  <sheetData>
    <row r="2" spans="1:27" s="24" customFormat="1" ht="30">
      <c r="B2" s="146" t="s">
        <v>33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23"/>
      <c r="W2" s="23"/>
      <c r="X2" s="23"/>
      <c r="Y2" s="23"/>
      <c r="Z2" s="23"/>
      <c r="AA2" s="23"/>
    </row>
    <row r="3" spans="1:27">
      <c r="A3" s="29"/>
      <c r="B3" s="43"/>
    </row>
    <row r="4" spans="1:27">
      <c r="A4" s="29"/>
      <c r="B4" s="43"/>
      <c r="H4" s="152" t="s">
        <v>167</v>
      </c>
      <c r="I4" s="153"/>
      <c r="J4" s="153"/>
      <c r="K4" s="154"/>
      <c r="L4" s="141" t="s">
        <v>168</v>
      </c>
      <c r="M4" s="141"/>
      <c r="N4" s="141"/>
      <c r="O4" s="141"/>
      <c r="P4" s="142" t="s">
        <v>166</v>
      </c>
      <c r="Q4" s="142"/>
      <c r="R4" s="142"/>
      <c r="S4" s="142"/>
    </row>
    <row r="5" spans="1:27" ht="13.5" customHeight="1">
      <c r="B5" s="147" t="s">
        <v>58</v>
      </c>
      <c r="C5" s="148"/>
      <c r="D5" s="151" t="s">
        <v>59</v>
      </c>
      <c r="E5" s="151"/>
      <c r="F5" s="145" t="s">
        <v>12</v>
      </c>
      <c r="G5" s="145" t="s">
        <v>62</v>
      </c>
      <c r="H5" s="145" t="s">
        <v>60</v>
      </c>
      <c r="I5" s="145" t="s">
        <v>61</v>
      </c>
      <c r="J5" s="145" t="s">
        <v>165</v>
      </c>
      <c r="K5" s="145" t="s">
        <v>63</v>
      </c>
      <c r="L5" s="143" t="s">
        <v>60</v>
      </c>
      <c r="M5" s="145" t="s">
        <v>61</v>
      </c>
      <c r="N5" s="145" t="s">
        <v>165</v>
      </c>
      <c r="O5" s="145" t="s">
        <v>63</v>
      </c>
      <c r="P5" s="143" t="s">
        <v>60</v>
      </c>
      <c r="Q5" s="145" t="s">
        <v>61</v>
      </c>
      <c r="R5" s="145" t="s">
        <v>165</v>
      </c>
      <c r="S5" s="145" t="s">
        <v>63</v>
      </c>
      <c r="T5" s="145" t="s">
        <v>64</v>
      </c>
      <c r="U5" s="145" t="s">
        <v>31</v>
      </c>
    </row>
    <row r="6" spans="1:27" ht="15.75" customHeight="1">
      <c r="B6" s="149"/>
      <c r="C6" s="150"/>
      <c r="D6" s="151"/>
      <c r="E6" s="151"/>
      <c r="F6" s="145"/>
      <c r="G6" s="145"/>
      <c r="H6" s="145"/>
      <c r="I6" s="145"/>
      <c r="J6" s="145"/>
      <c r="K6" s="145"/>
      <c r="L6" s="144"/>
      <c r="M6" s="145"/>
      <c r="N6" s="145"/>
      <c r="O6" s="145"/>
      <c r="P6" s="144"/>
      <c r="Q6" s="145"/>
      <c r="R6" s="145"/>
      <c r="S6" s="145"/>
      <c r="T6" s="145"/>
      <c r="U6" s="145"/>
    </row>
    <row r="7" spans="1:27">
      <c r="B7" s="44" t="s">
        <v>79</v>
      </c>
      <c r="C7" s="45" t="s">
        <v>65</v>
      </c>
      <c r="D7" s="45" t="s">
        <v>66</v>
      </c>
      <c r="E7" s="46" t="s">
        <v>67</v>
      </c>
      <c r="F7" s="46" t="s">
        <v>38</v>
      </c>
      <c r="G7" s="46" t="s">
        <v>38</v>
      </c>
      <c r="H7" s="47">
        <f>SUM(H8:H13)</f>
        <v>21</v>
      </c>
      <c r="I7" s="47">
        <f>SUM(I8:I13)</f>
        <v>15</v>
      </c>
      <c r="J7" s="46" t="s">
        <v>38</v>
      </c>
      <c r="K7" s="46" t="s">
        <v>38</v>
      </c>
      <c r="L7" s="47">
        <f>SUM(L8:L13)</f>
        <v>19</v>
      </c>
      <c r="M7" s="47">
        <f>SUM(M8:M13)</f>
        <v>14</v>
      </c>
      <c r="N7" s="46" t="s">
        <v>38</v>
      </c>
      <c r="O7" s="46" t="s">
        <v>38</v>
      </c>
      <c r="P7" s="47">
        <f>SUM(P8:P13)</f>
        <v>19</v>
      </c>
      <c r="Q7" s="47">
        <f>SUM(Q8:Q13)</f>
        <v>11</v>
      </c>
      <c r="R7" s="46" t="s">
        <v>38</v>
      </c>
      <c r="S7" s="46" t="s">
        <v>38</v>
      </c>
      <c r="T7" s="46" t="s">
        <v>38</v>
      </c>
      <c r="U7" s="48"/>
    </row>
    <row r="8" spans="1:27" s="32" customFormat="1" ht="102">
      <c r="B8" s="35" t="s">
        <v>80</v>
      </c>
      <c r="C8" s="36" t="s">
        <v>68</v>
      </c>
      <c r="D8" s="36" t="s">
        <v>163</v>
      </c>
      <c r="E8" s="49" t="s">
        <v>77</v>
      </c>
      <c r="F8" s="49" t="s">
        <v>55</v>
      </c>
      <c r="G8" s="49" t="s">
        <v>159</v>
      </c>
      <c r="H8" s="50">
        <v>1</v>
      </c>
      <c r="I8" s="50">
        <v>1</v>
      </c>
      <c r="J8" s="36">
        <v>45915</v>
      </c>
      <c r="K8" s="36">
        <v>45917</v>
      </c>
      <c r="L8" s="50">
        <v>1</v>
      </c>
      <c r="M8" s="50">
        <v>1</v>
      </c>
      <c r="N8" s="36">
        <v>45917</v>
      </c>
      <c r="O8" s="36">
        <v>45919</v>
      </c>
      <c r="P8" s="50">
        <v>1</v>
      </c>
      <c r="Q8" s="50">
        <v>1</v>
      </c>
      <c r="R8" s="36">
        <v>45917</v>
      </c>
      <c r="S8" s="36">
        <v>45919</v>
      </c>
      <c r="T8" s="49" t="s">
        <v>69</v>
      </c>
      <c r="U8" s="49"/>
    </row>
    <row r="9" spans="1:27" s="32" customFormat="1" ht="51">
      <c r="B9" s="35" t="s">
        <v>81</v>
      </c>
      <c r="C9" s="36" t="s">
        <v>70</v>
      </c>
      <c r="D9" s="36"/>
      <c r="E9" s="49" t="s">
        <v>71</v>
      </c>
      <c r="F9" s="49" t="s">
        <v>56</v>
      </c>
      <c r="G9" s="49" t="s">
        <v>159</v>
      </c>
      <c r="H9" s="51">
        <v>2</v>
      </c>
      <c r="I9" s="51">
        <v>1</v>
      </c>
      <c r="J9" s="36">
        <v>45915</v>
      </c>
      <c r="K9" s="36">
        <v>45917</v>
      </c>
      <c r="L9" s="51">
        <v>0</v>
      </c>
      <c r="M9" s="51">
        <v>0</v>
      </c>
      <c r="N9" s="36">
        <v>45917</v>
      </c>
      <c r="O9" s="36">
        <v>45919</v>
      </c>
      <c r="P9" s="51">
        <v>0</v>
      </c>
      <c r="Q9" s="51">
        <v>0</v>
      </c>
      <c r="R9" s="36">
        <v>45917</v>
      </c>
      <c r="S9" s="36">
        <v>45919</v>
      </c>
      <c r="T9" s="49" t="s">
        <v>69</v>
      </c>
      <c r="U9" s="52"/>
    </row>
    <row r="10" spans="1:27" s="32" customFormat="1" ht="51">
      <c r="B10" s="35" t="s">
        <v>82</v>
      </c>
      <c r="C10" s="36" t="s">
        <v>72</v>
      </c>
      <c r="D10" s="36"/>
      <c r="E10" s="49" t="s">
        <v>73</v>
      </c>
      <c r="F10" s="49" t="s">
        <v>57</v>
      </c>
      <c r="G10" s="49" t="s">
        <v>159</v>
      </c>
      <c r="H10" s="51">
        <v>2</v>
      </c>
      <c r="I10" s="51">
        <v>2</v>
      </c>
      <c r="J10" s="36">
        <v>45915</v>
      </c>
      <c r="K10" s="36">
        <v>45917</v>
      </c>
      <c r="L10" s="51">
        <v>2</v>
      </c>
      <c r="M10" s="51">
        <v>1</v>
      </c>
      <c r="N10" s="36">
        <v>45917</v>
      </c>
      <c r="O10" s="36">
        <v>45919</v>
      </c>
      <c r="P10" s="51">
        <v>2</v>
      </c>
      <c r="Q10" s="51">
        <v>2</v>
      </c>
      <c r="R10" s="36">
        <v>45917</v>
      </c>
      <c r="S10" s="36">
        <v>45919</v>
      </c>
      <c r="T10" s="49" t="s">
        <v>69</v>
      </c>
      <c r="U10" s="52"/>
    </row>
    <row r="11" spans="1:27" s="32" customFormat="1" ht="51">
      <c r="B11" s="35" t="s">
        <v>83</v>
      </c>
      <c r="C11" s="36" t="s">
        <v>74</v>
      </c>
      <c r="D11" s="36"/>
      <c r="E11" s="49" t="s">
        <v>75</v>
      </c>
      <c r="F11" s="49" t="s">
        <v>55</v>
      </c>
      <c r="G11" s="49" t="s">
        <v>159</v>
      </c>
      <c r="H11" s="51">
        <v>4</v>
      </c>
      <c r="I11" s="51">
        <v>2</v>
      </c>
      <c r="J11" s="36">
        <v>45915</v>
      </c>
      <c r="K11" s="36">
        <v>45917</v>
      </c>
      <c r="L11" s="51">
        <v>4</v>
      </c>
      <c r="M11" s="51">
        <v>3</v>
      </c>
      <c r="N11" s="36">
        <v>45917</v>
      </c>
      <c r="O11" s="36">
        <v>45919</v>
      </c>
      <c r="P11" s="51">
        <v>4</v>
      </c>
      <c r="Q11" s="51">
        <v>0</v>
      </c>
      <c r="R11" s="36">
        <v>45917</v>
      </c>
      <c r="S11" s="36">
        <v>45919</v>
      </c>
      <c r="T11" s="49" t="s">
        <v>69</v>
      </c>
      <c r="U11" s="52"/>
    </row>
    <row r="12" spans="1:27" s="32" customFormat="1" ht="51">
      <c r="B12" s="35" t="s">
        <v>84</v>
      </c>
      <c r="C12" s="36" t="s">
        <v>76</v>
      </c>
      <c r="D12" s="36"/>
      <c r="E12" s="49" t="s">
        <v>77</v>
      </c>
      <c r="F12" s="49" t="s">
        <v>56</v>
      </c>
      <c r="G12" s="49" t="s">
        <v>159</v>
      </c>
      <c r="H12" s="51">
        <v>4</v>
      </c>
      <c r="I12" s="51">
        <v>3</v>
      </c>
      <c r="J12" s="36">
        <v>45915</v>
      </c>
      <c r="K12" s="36">
        <v>45917</v>
      </c>
      <c r="L12" s="51">
        <v>4</v>
      </c>
      <c r="M12" s="51">
        <v>4</v>
      </c>
      <c r="N12" s="36">
        <v>45917</v>
      </c>
      <c r="O12" s="36">
        <v>45919</v>
      </c>
      <c r="P12" s="51">
        <v>4</v>
      </c>
      <c r="Q12" s="51">
        <v>0</v>
      </c>
      <c r="R12" s="36">
        <v>45917</v>
      </c>
      <c r="S12" s="36">
        <v>45919</v>
      </c>
      <c r="T12" s="49" t="s">
        <v>69</v>
      </c>
      <c r="U12" s="52"/>
    </row>
    <row r="13" spans="1:27" s="32" customFormat="1" ht="51">
      <c r="B13" s="35" t="s">
        <v>85</v>
      </c>
      <c r="C13" s="36" t="s">
        <v>78</v>
      </c>
      <c r="D13" s="36"/>
      <c r="E13" s="49" t="s">
        <v>32</v>
      </c>
      <c r="F13" s="49" t="s">
        <v>57</v>
      </c>
      <c r="G13" s="49" t="s">
        <v>159</v>
      </c>
      <c r="H13" s="51">
        <v>8</v>
      </c>
      <c r="I13" s="51">
        <v>6</v>
      </c>
      <c r="J13" s="36">
        <v>45915</v>
      </c>
      <c r="K13" s="36">
        <v>45917</v>
      </c>
      <c r="L13" s="51">
        <v>8</v>
      </c>
      <c r="M13" s="51">
        <v>5</v>
      </c>
      <c r="N13" s="36">
        <v>45917</v>
      </c>
      <c r="O13" s="36">
        <v>45919</v>
      </c>
      <c r="P13" s="51">
        <v>8</v>
      </c>
      <c r="Q13" s="51">
        <v>8</v>
      </c>
      <c r="R13" s="36">
        <v>45917</v>
      </c>
      <c r="S13" s="36">
        <v>45919</v>
      </c>
      <c r="T13" s="49" t="s">
        <v>69</v>
      </c>
      <c r="U13" s="52"/>
    </row>
  </sheetData>
  <mergeCells count="22">
    <mergeCell ref="B2:U2"/>
    <mergeCell ref="B5:C6"/>
    <mergeCell ref="D5:E6"/>
    <mergeCell ref="F5:F6"/>
    <mergeCell ref="H5:H6"/>
    <mergeCell ref="I5:I6"/>
    <mergeCell ref="K5:K6"/>
    <mergeCell ref="T5:T6"/>
    <mergeCell ref="U5:U6"/>
    <mergeCell ref="J5:J6"/>
    <mergeCell ref="G5:G6"/>
    <mergeCell ref="H4:K4"/>
    <mergeCell ref="L5:L6"/>
    <mergeCell ref="M5:M6"/>
    <mergeCell ref="N5:N6"/>
    <mergeCell ref="O5:O6"/>
    <mergeCell ref="L4:O4"/>
    <mergeCell ref="P4:S4"/>
    <mergeCell ref="P5:P6"/>
    <mergeCell ref="Q5:Q6"/>
    <mergeCell ref="R5:R6"/>
    <mergeCell ref="S5:S6"/>
  </mergeCells>
  <phoneticPr fontId="10" type="noConversion"/>
  <conditionalFormatting sqref="D8:U13">
    <cfRule type="expression" dxfId="3" priority="1">
      <formula>D8="-"</formula>
    </cfRule>
  </conditionalFormatting>
  <dataValidations count="2">
    <dataValidation type="list" allowBlank="1" showInputMessage="1" showErrorMessage="1" sqref="F8:F13" xr:uid="{338C855F-0CA7-46B3-A086-214208F717DE}">
      <formula1>"High, Normal, Low"</formula1>
    </dataValidation>
    <dataValidation type="list" allowBlank="1" showInputMessage="1" showErrorMessage="1" sqref="E8:E13" xr:uid="{4BB7B71B-6A3E-48F7-8AAE-14B6092170EE}">
      <formula1>"Scoreboard, Assertion, Scoreboard + Assertion, Waveform, Self-check TM, Compare Expected.txt vs. Actual.txt, etc."</formula1>
    </dataValidation>
  </dataValidations>
  <pageMargins left="0.7" right="0.7" top="0.75" bottom="0.75" header="0.3" footer="0.3"/>
  <pageSetup paperSize="9" scale="43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EB90C-4B3C-473B-9DFD-4788B4CA5623}">
  <dimension ref="A2:AE220"/>
  <sheetViews>
    <sheetView showGridLines="0" topLeftCell="A11" zoomScaleNormal="100" zoomScaleSheetLayoutView="115" workbookViewId="0">
      <selection activeCell="AH32" sqref="AH32"/>
    </sheetView>
  </sheetViews>
  <sheetFormatPr defaultColWidth="4.75" defaultRowHeight="12.75"/>
  <cols>
    <col min="1" max="1" width="2.75" style="59" customWidth="1"/>
    <col min="2" max="16384" width="4.75" style="59"/>
  </cols>
  <sheetData>
    <row r="2" spans="1:31" s="24" customFormat="1" ht="30">
      <c r="B2" s="138" t="s">
        <v>133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</row>
    <row r="3" spans="1:31">
      <c r="A3" s="60"/>
      <c r="B3" s="61"/>
      <c r="C3" s="58"/>
    </row>
    <row r="4" spans="1:31">
      <c r="A4" s="62"/>
      <c r="B4" s="63"/>
      <c r="C4" s="64"/>
      <c r="H4" s="65" t="s">
        <v>126</v>
      </c>
      <c r="I4" s="65"/>
    </row>
    <row r="5" spans="1:31">
      <c r="B5" s="66"/>
      <c r="H5" s="65"/>
      <c r="I5" s="65" t="s">
        <v>127</v>
      </c>
    </row>
    <row r="6" spans="1:31">
      <c r="B6" s="67" t="s">
        <v>128</v>
      </c>
      <c r="H6" s="65"/>
      <c r="I6" s="65" t="s">
        <v>129</v>
      </c>
    </row>
    <row r="7" spans="1:31">
      <c r="B7" s="67" t="s">
        <v>141</v>
      </c>
      <c r="H7" s="65"/>
      <c r="I7" s="65" t="s">
        <v>130</v>
      </c>
    </row>
    <row r="8" spans="1:31">
      <c r="B8" s="68"/>
    </row>
    <row r="10" spans="1:31">
      <c r="P10" s="65" t="s">
        <v>131</v>
      </c>
    </row>
    <row r="30" spans="3:3">
      <c r="C30" s="68"/>
    </row>
    <row r="31" spans="3:3">
      <c r="C31" s="69"/>
    </row>
    <row r="32" spans="3:3">
      <c r="C32" s="69"/>
    </row>
    <row r="33" spans="2:3">
      <c r="C33" s="70"/>
    </row>
    <row r="34" spans="2:3">
      <c r="C34" s="70"/>
    </row>
    <row r="35" spans="2:3">
      <c r="C35" s="69"/>
    </row>
    <row r="36" spans="2:3">
      <c r="C36" s="71"/>
    </row>
    <row r="37" spans="2:3">
      <c r="C37" s="72"/>
    </row>
    <row r="38" spans="2:3">
      <c r="C38" s="68"/>
    </row>
    <row r="40" spans="2:3">
      <c r="B40" s="68"/>
    </row>
    <row r="42" spans="2:3">
      <c r="B42" s="68"/>
    </row>
    <row r="54" spans="5:5">
      <c r="E54" s="65" t="s">
        <v>132</v>
      </c>
    </row>
    <row r="78" spans="3:3">
      <c r="C78" s="71"/>
    </row>
    <row r="82" spans="1:5">
      <c r="D82" s="65"/>
    </row>
    <row r="88" spans="1:5" s="74" customFormat="1" ht="14.25">
      <c r="A88" s="73"/>
      <c r="C88" s="73"/>
    </row>
    <row r="89" spans="1:5" s="74" customFormat="1" ht="27">
      <c r="A89" s="73"/>
      <c r="C89" s="73"/>
      <c r="E89" s="132" t="s">
        <v>169</v>
      </c>
    </row>
    <row r="90" spans="1:5" s="74" customFormat="1" ht="14.25">
      <c r="A90" s="73"/>
      <c r="C90" s="73"/>
    </row>
    <row r="142" spans="2:2">
      <c r="B142" s="68"/>
    </row>
    <row r="175" spans="3:3">
      <c r="C175" s="75"/>
    </row>
    <row r="176" spans="3:3">
      <c r="C176" s="76"/>
    </row>
    <row r="177" spans="2:3">
      <c r="C177" s="76"/>
    </row>
    <row r="179" spans="2:3">
      <c r="B179" s="68"/>
    </row>
    <row r="216" spans="3:3">
      <c r="C216" s="75"/>
    </row>
    <row r="217" spans="3:3">
      <c r="C217" s="76"/>
    </row>
    <row r="218" spans="3:3">
      <c r="C218" s="76"/>
    </row>
    <row r="219" spans="3:3">
      <c r="C219" s="77"/>
    </row>
    <row r="220" spans="3:3">
      <c r="C220" s="78"/>
    </row>
  </sheetData>
  <dataConsolidate/>
  <mergeCells count="1">
    <mergeCell ref="B2:AE2"/>
  </mergeCells>
  <pageMargins left="0.7" right="0.7" top="0.75" bottom="0.75" header="0.3" footer="0.3"/>
  <pageSetup paperSize="9" scale="85" orientation="landscape" r:id="rId1"/>
  <rowBreaks count="2" manualBreakCount="2">
    <brk id="38" max="32" man="1"/>
    <brk id="141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F21-A3E2-4507-BF61-5995849BA935}">
  <dimension ref="A1:H74"/>
  <sheetViews>
    <sheetView tabSelected="1" zoomScaleNormal="100" workbookViewId="0">
      <selection activeCell="G37" sqref="G37"/>
    </sheetView>
  </sheetViews>
  <sheetFormatPr defaultColWidth="4.75" defaultRowHeight="12.75"/>
  <cols>
    <col min="1" max="1" width="2.75" style="80" customWidth="1"/>
    <col min="2" max="2" width="22.875" style="80" customWidth="1"/>
    <col min="3" max="3" width="25.875" style="80" customWidth="1"/>
    <col min="4" max="4" width="21.25" style="81" customWidth="1"/>
    <col min="5" max="5" width="40.875" style="81" customWidth="1"/>
    <col min="6" max="6" width="15.875" style="80" customWidth="1"/>
    <col min="7" max="7" width="56.75" style="80" customWidth="1"/>
    <col min="8" max="8" width="13.5" style="80" customWidth="1"/>
    <col min="9" max="16384" width="4.75" style="80"/>
  </cols>
  <sheetData>
    <row r="1" spans="1:8">
      <c r="A1" s="79"/>
    </row>
    <row r="2" spans="1:8" s="24" customFormat="1" ht="30">
      <c r="B2" s="146" t="s">
        <v>158</v>
      </c>
      <c r="C2" s="146"/>
      <c r="D2" s="146"/>
      <c r="E2" s="146"/>
      <c r="F2" s="146"/>
      <c r="G2" s="146"/>
      <c r="H2" s="146"/>
    </row>
    <row r="3" spans="1:8">
      <c r="A3" s="82"/>
    </row>
    <row r="5" spans="1:8" ht="14.25" customHeight="1">
      <c r="A5" s="83">
        <f>ROW()</f>
        <v>5</v>
      </c>
      <c r="B5" s="128" t="s">
        <v>145</v>
      </c>
      <c r="C5" s="129" t="s">
        <v>144</v>
      </c>
      <c r="D5" s="123" t="s">
        <v>143</v>
      </c>
      <c r="E5" s="123" t="s">
        <v>7</v>
      </c>
      <c r="F5" s="122" t="s">
        <v>138</v>
      </c>
      <c r="G5" s="122" t="s">
        <v>142</v>
      </c>
      <c r="H5" s="122" t="s">
        <v>31</v>
      </c>
    </row>
    <row r="6" spans="1:8" ht="25.5">
      <c r="B6" s="155" t="s">
        <v>148</v>
      </c>
      <c r="C6" s="131" t="s">
        <v>150</v>
      </c>
      <c r="D6" s="84" t="s">
        <v>147</v>
      </c>
      <c r="E6" s="84" t="s">
        <v>154</v>
      </c>
      <c r="F6" s="57" t="s">
        <v>146</v>
      </c>
      <c r="G6" s="130" t="s">
        <v>156</v>
      </c>
      <c r="H6" s="57"/>
    </row>
    <row r="7" spans="1:8">
      <c r="B7" s="156"/>
      <c r="C7" s="131" t="s">
        <v>149</v>
      </c>
      <c r="D7" s="84" t="s">
        <v>151</v>
      </c>
      <c r="E7" s="84" t="s">
        <v>152</v>
      </c>
      <c r="F7" s="57" t="s">
        <v>153</v>
      </c>
      <c r="G7" s="130" t="s">
        <v>157</v>
      </c>
      <c r="H7" s="57"/>
    </row>
    <row r="8" spans="1:8">
      <c r="B8" s="156"/>
      <c r="C8" s="131"/>
      <c r="D8" s="84"/>
      <c r="E8" s="84"/>
      <c r="F8" s="57"/>
      <c r="G8" s="130"/>
      <c r="H8" s="57"/>
    </row>
    <row r="9" spans="1:8">
      <c r="B9" s="156"/>
      <c r="C9" s="131"/>
      <c r="D9" s="84"/>
      <c r="E9" s="84"/>
      <c r="F9" s="57"/>
      <c r="G9" s="130"/>
      <c r="H9" s="57"/>
    </row>
    <row r="10" spans="1:8">
      <c r="B10" s="156"/>
      <c r="C10" s="131"/>
      <c r="D10" s="84"/>
      <c r="E10" s="84"/>
      <c r="F10" s="57"/>
      <c r="G10" s="130"/>
      <c r="H10" s="57"/>
    </row>
    <row r="11" spans="1:8">
      <c r="B11" s="156"/>
      <c r="C11" s="131"/>
      <c r="D11" s="84"/>
      <c r="E11" s="84"/>
      <c r="F11" s="57"/>
      <c r="G11" s="130"/>
      <c r="H11" s="57"/>
    </row>
    <row r="12" spans="1:8">
      <c r="B12" s="157"/>
      <c r="C12" s="131"/>
      <c r="D12" s="84"/>
      <c r="E12" s="84"/>
      <c r="F12" s="57"/>
      <c r="G12" s="130"/>
      <c r="H12" s="57"/>
    </row>
    <row r="13" spans="1:8">
      <c r="B13" s="155" t="s">
        <v>155</v>
      </c>
      <c r="C13" s="131"/>
      <c r="D13" s="84"/>
      <c r="E13" s="84"/>
      <c r="F13" s="57"/>
      <c r="G13" s="130"/>
      <c r="H13" s="57"/>
    </row>
    <row r="14" spans="1:8">
      <c r="B14" s="156"/>
      <c r="C14" s="131"/>
      <c r="D14" s="84"/>
      <c r="E14" s="84"/>
      <c r="F14" s="57"/>
      <c r="G14" s="130"/>
      <c r="H14" s="57"/>
    </row>
    <row r="15" spans="1:8">
      <c r="B15" s="156"/>
      <c r="C15" s="131"/>
      <c r="D15" s="84"/>
      <c r="E15" s="84"/>
      <c r="F15" s="57"/>
      <c r="G15" s="130"/>
      <c r="H15" s="57"/>
    </row>
    <row r="16" spans="1:8">
      <c r="B16" s="156"/>
      <c r="C16" s="131"/>
      <c r="D16" s="84"/>
      <c r="E16" s="84"/>
      <c r="F16" s="57"/>
      <c r="G16" s="130"/>
      <c r="H16" s="57"/>
    </row>
    <row r="17" spans="2:8">
      <c r="B17" s="156"/>
      <c r="C17" s="131"/>
      <c r="D17" s="84"/>
      <c r="E17" s="84"/>
      <c r="F17" s="57"/>
      <c r="G17" s="130"/>
      <c r="H17" s="57"/>
    </row>
    <row r="18" spans="2:8">
      <c r="B18" s="156"/>
      <c r="C18" s="131"/>
      <c r="D18" s="84"/>
      <c r="E18" s="84"/>
      <c r="F18" s="57"/>
      <c r="G18" s="130"/>
      <c r="H18" s="57"/>
    </row>
    <row r="19" spans="2:8">
      <c r="B19" s="157"/>
      <c r="C19" s="57"/>
      <c r="D19" s="84"/>
      <c r="E19" s="84"/>
      <c r="F19" s="57"/>
      <c r="G19" s="57"/>
      <c r="H19" s="57"/>
    </row>
    <row r="20" spans="2:8">
      <c r="C20" s="81"/>
      <c r="E20" s="80"/>
    </row>
    <row r="21" spans="2:8">
      <c r="C21" s="81"/>
      <c r="E21" s="80"/>
    </row>
    <row r="22" spans="2:8">
      <c r="C22" s="81"/>
      <c r="E22" s="80"/>
    </row>
    <row r="23" spans="2:8">
      <c r="C23" s="81"/>
      <c r="E23" s="80"/>
    </row>
    <row r="24" spans="2:8">
      <c r="C24" s="81"/>
      <c r="E24" s="80"/>
    </row>
    <row r="25" spans="2:8">
      <c r="C25" s="81"/>
      <c r="E25" s="80"/>
    </row>
    <row r="26" spans="2:8">
      <c r="C26" s="81"/>
      <c r="E26" s="80"/>
    </row>
    <row r="27" spans="2:8">
      <c r="C27" s="81"/>
      <c r="E27" s="80"/>
    </row>
    <row r="28" spans="2:8">
      <c r="C28" s="81"/>
      <c r="E28" s="80"/>
    </row>
    <row r="29" spans="2:8">
      <c r="C29" s="81"/>
      <c r="E29" s="80"/>
    </row>
    <row r="30" spans="2:8">
      <c r="C30" s="81"/>
      <c r="E30" s="80"/>
    </row>
    <row r="31" spans="2:8">
      <c r="C31" s="81"/>
      <c r="E31" s="80"/>
    </row>
    <row r="32" spans="2:8">
      <c r="C32" s="81"/>
      <c r="E32" s="80"/>
    </row>
    <row r="33" spans="3:5">
      <c r="C33" s="81"/>
      <c r="E33" s="80"/>
    </row>
    <row r="34" spans="3:5">
      <c r="C34" s="81"/>
      <c r="E34" s="80"/>
    </row>
    <row r="35" spans="3:5">
      <c r="C35" s="81"/>
      <c r="E35" s="80"/>
    </row>
    <row r="36" spans="3:5">
      <c r="C36" s="81"/>
      <c r="E36" s="80"/>
    </row>
    <row r="37" spans="3:5">
      <c r="C37" s="81"/>
      <c r="E37" s="80"/>
    </row>
    <row r="38" spans="3:5">
      <c r="C38" s="81"/>
      <c r="E38" s="80"/>
    </row>
    <row r="39" spans="3:5">
      <c r="C39" s="81"/>
      <c r="E39" s="80"/>
    </row>
    <row r="40" spans="3:5">
      <c r="C40" s="81"/>
      <c r="E40" s="80"/>
    </row>
    <row r="41" spans="3:5">
      <c r="C41" s="81"/>
      <c r="E41" s="80"/>
    </row>
    <row r="42" spans="3:5">
      <c r="C42" s="81"/>
      <c r="E42" s="80"/>
    </row>
    <row r="43" spans="3:5">
      <c r="C43" s="81"/>
      <c r="E43" s="80"/>
    </row>
    <row r="44" spans="3:5">
      <c r="C44" s="81"/>
      <c r="E44" s="80"/>
    </row>
    <row r="45" spans="3:5">
      <c r="C45" s="81"/>
      <c r="E45" s="80"/>
    </row>
    <row r="46" spans="3:5">
      <c r="C46" s="81"/>
      <c r="E46" s="80"/>
    </row>
    <row r="47" spans="3:5">
      <c r="C47" s="81"/>
      <c r="E47" s="80"/>
    </row>
    <row r="48" spans="3:5">
      <c r="C48" s="81"/>
      <c r="E48" s="80"/>
    </row>
    <row r="49" spans="3:5">
      <c r="C49" s="81"/>
      <c r="E49" s="80"/>
    </row>
    <row r="50" spans="3:5">
      <c r="C50" s="81"/>
      <c r="E50" s="80"/>
    </row>
    <row r="51" spans="3:5">
      <c r="C51" s="81"/>
      <c r="E51" s="80"/>
    </row>
    <row r="52" spans="3:5">
      <c r="C52" s="81"/>
      <c r="E52" s="80"/>
    </row>
    <row r="53" spans="3:5">
      <c r="C53" s="81"/>
      <c r="E53" s="80"/>
    </row>
    <row r="54" spans="3:5">
      <c r="C54" s="81"/>
      <c r="E54" s="80"/>
    </row>
    <row r="55" spans="3:5">
      <c r="C55" s="81"/>
      <c r="E55" s="80"/>
    </row>
    <row r="56" spans="3:5">
      <c r="C56" s="81"/>
      <c r="E56" s="80"/>
    </row>
    <row r="57" spans="3:5">
      <c r="C57" s="81"/>
      <c r="E57" s="80"/>
    </row>
    <row r="58" spans="3:5">
      <c r="C58" s="81"/>
      <c r="E58" s="80"/>
    </row>
    <row r="59" spans="3:5">
      <c r="C59" s="81"/>
      <c r="E59" s="80"/>
    </row>
    <row r="60" spans="3:5">
      <c r="C60" s="81"/>
      <c r="E60" s="80"/>
    </row>
    <row r="61" spans="3:5">
      <c r="C61" s="81"/>
      <c r="E61" s="80"/>
    </row>
    <row r="62" spans="3:5">
      <c r="C62" s="81"/>
      <c r="E62" s="80"/>
    </row>
    <row r="63" spans="3:5">
      <c r="C63" s="81"/>
      <c r="E63" s="80"/>
    </row>
    <row r="64" spans="3:5">
      <c r="C64" s="81"/>
      <c r="E64" s="80"/>
    </row>
    <row r="65" spans="3:5">
      <c r="C65" s="81"/>
      <c r="E65" s="80"/>
    </row>
    <row r="66" spans="3:5">
      <c r="C66" s="81"/>
      <c r="E66" s="80"/>
    </row>
    <row r="67" spans="3:5">
      <c r="C67" s="81"/>
      <c r="E67" s="80"/>
    </row>
    <row r="68" spans="3:5">
      <c r="C68" s="81"/>
      <c r="E68" s="80"/>
    </row>
    <row r="69" spans="3:5">
      <c r="C69" s="81"/>
      <c r="E69" s="80"/>
    </row>
    <row r="70" spans="3:5">
      <c r="C70" s="81"/>
      <c r="E70" s="80"/>
    </row>
    <row r="71" spans="3:5">
      <c r="C71" s="81"/>
      <c r="E71" s="80"/>
    </row>
    <row r="72" spans="3:5">
      <c r="C72" s="81"/>
      <c r="E72" s="80"/>
    </row>
    <row r="73" spans="3:5">
      <c r="C73" s="81"/>
      <c r="E73" s="80"/>
    </row>
    <row r="74" spans="3:5">
      <c r="C74" s="81"/>
      <c r="E74" s="80"/>
    </row>
  </sheetData>
  <mergeCells count="3">
    <mergeCell ref="B6:B12"/>
    <mergeCell ref="B13:B19"/>
    <mergeCell ref="B2:H2"/>
  </mergeCells>
  <dataValidations count="1">
    <dataValidation type="list" allowBlank="1" showInputMessage="1" showErrorMessage="1" sqref="D6:D18" xr:uid="{7946C2D8-27F2-4ECA-8FCD-62203C92717A}">
      <formula1>"Initial value,Connection,pusle,raise,fell,value"</formula1>
    </dataValidation>
  </dataValidations>
  <pageMargins left="0.7" right="0.7" top="0.75" bottom="0.75" header="0.3" footer="0.3"/>
  <pageSetup paperSize="9" scale="6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1:J14"/>
  <sheetViews>
    <sheetView showGridLines="0" zoomScale="130" zoomScaleNormal="130" zoomScalePageLayoutView="115" workbookViewId="0">
      <selection activeCell="F19" sqref="F19"/>
    </sheetView>
  </sheetViews>
  <sheetFormatPr defaultColWidth="8.75" defaultRowHeight="15.75"/>
  <cols>
    <col min="1" max="1" width="3.25" style="14" customWidth="1"/>
    <col min="2" max="2" width="2.75" style="14" bestFit="1" customWidth="1"/>
    <col min="3" max="3" width="11" style="14" customWidth="1"/>
    <col min="4" max="4" width="8.75" style="14" customWidth="1"/>
    <col min="5" max="5" width="10.75" style="14" customWidth="1"/>
    <col min="6" max="6" width="58.625" style="14" customWidth="1"/>
    <col min="7" max="7" width="50.75" style="14" customWidth="1"/>
    <col min="8" max="8" width="11.25" style="14" bestFit="1" customWidth="1"/>
    <col min="9" max="9" width="25.75" style="14" customWidth="1"/>
    <col min="10" max="10" width="31.75" style="14" customWidth="1"/>
    <col min="11" max="16384" width="8.75" style="14"/>
  </cols>
  <sheetData>
    <row r="1" spans="2:10" ht="23.25">
      <c r="B1" s="116" t="s">
        <v>24</v>
      </c>
    </row>
    <row r="3" spans="2:10" ht="15" customHeight="1">
      <c r="B3" s="118" t="s">
        <v>0</v>
      </c>
      <c r="C3" s="118" t="s">
        <v>1</v>
      </c>
      <c r="D3" s="118" t="s">
        <v>11</v>
      </c>
      <c r="E3" s="118" t="s">
        <v>20</v>
      </c>
      <c r="F3" s="118" t="s">
        <v>21</v>
      </c>
      <c r="G3" s="118" t="s">
        <v>22</v>
      </c>
      <c r="H3" s="118" t="s">
        <v>23</v>
      </c>
      <c r="I3" s="118" t="s">
        <v>27</v>
      </c>
      <c r="J3" s="21" t="s">
        <v>4</v>
      </c>
    </row>
    <row r="4" spans="2:10" ht="15" customHeight="1">
      <c r="B4" s="109">
        <v>1</v>
      </c>
      <c r="C4" s="112"/>
      <c r="D4" s="112" t="s">
        <v>29</v>
      </c>
      <c r="E4" s="112"/>
      <c r="F4" s="112"/>
      <c r="G4" s="112"/>
      <c r="H4" s="112"/>
      <c r="I4" s="112"/>
      <c r="J4" s="13"/>
    </row>
    <row r="5" spans="2:10" ht="15" customHeight="1">
      <c r="B5" s="109">
        <v>2</v>
      </c>
      <c r="C5" s="112"/>
      <c r="D5" s="112" t="s">
        <v>28</v>
      </c>
      <c r="E5" s="112"/>
      <c r="F5" s="112"/>
      <c r="G5" s="112"/>
      <c r="H5" s="112"/>
      <c r="I5" s="112"/>
      <c r="J5" s="13"/>
    </row>
    <row r="6" spans="2:10" ht="15" customHeight="1">
      <c r="B6" s="109">
        <v>3</v>
      </c>
      <c r="C6" s="112"/>
      <c r="D6" s="112" t="s">
        <v>30</v>
      </c>
      <c r="E6" s="112"/>
      <c r="F6" s="112"/>
      <c r="G6" s="112"/>
      <c r="H6" s="112"/>
      <c r="I6" s="112"/>
      <c r="J6" s="13"/>
    </row>
    <row r="7" spans="2:10" ht="15" customHeight="1">
      <c r="B7" s="109">
        <v>4</v>
      </c>
      <c r="C7" s="112"/>
      <c r="D7" s="112" t="s">
        <v>29</v>
      </c>
      <c r="E7" s="112"/>
      <c r="F7" s="112"/>
      <c r="G7" s="112"/>
      <c r="H7" s="112"/>
      <c r="I7" s="112"/>
      <c r="J7" s="13"/>
    </row>
    <row r="8" spans="2:10" ht="15" customHeight="1">
      <c r="B8" s="109">
        <v>5</v>
      </c>
      <c r="C8" s="112"/>
      <c r="D8" s="112" t="s">
        <v>29</v>
      </c>
      <c r="E8" s="112"/>
      <c r="F8" s="112"/>
      <c r="G8" s="112"/>
      <c r="H8" s="112"/>
      <c r="I8" s="112"/>
      <c r="J8" s="13"/>
    </row>
    <row r="9" spans="2:10" ht="15" customHeight="1">
      <c r="B9" s="109">
        <v>6</v>
      </c>
      <c r="C9" s="112"/>
      <c r="D9" s="112" t="s">
        <v>29</v>
      </c>
      <c r="E9" s="112"/>
      <c r="F9" s="112"/>
      <c r="G9" s="112"/>
      <c r="H9" s="112"/>
      <c r="I9" s="112"/>
      <c r="J9" s="13"/>
    </row>
    <row r="10" spans="2:10" ht="15" customHeight="1">
      <c r="B10" s="109">
        <v>7</v>
      </c>
      <c r="C10" s="112"/>
      <c r="D10" s="112" t="s">
        <v>29</v>
      </c>
      <c r="E10" s="112"/>
      <c r="F10" s="112"/>
      <c r="G10" s="112"/>
      <c r="H10" s="112"/>
      <c r="I10" s="112"/>
      <c r="J10" s="13"/>
    </row>
    <row r="11" spans="2:10" ht="15" customHeight="1">
      <c r="B11" s="109">
        <v>8</v>
      </c>
      <c r="C11" s="112"/>
      <c r="D11" s="112" t="s">
        <v>29</v>
      </c>
      <c r="E11" s="112"/>
      <c r="F11" s="112"/>
      <c r="G11" s="112"/>
      <c r="H11" s="112"/>
      <c r="I11" s="112"/>
      <c r="J11" s="13"/>
    </row>
    <row r="12" spans="2:10" ht="15" customHeight="1">
      <c r="B12" s="109">
        <v>9</v>
      </c>
      <c r="C12" s="112"/>
      <c r="D12" s="112" t="s">
        <v>29</v>
      </c>
      <c r="E12" s="112"/>
      <c r="F12" s="112"/>
      <c r="G12" s="112"/>
      <c r="H12" s="112"/>
      <c r="I12" s="112"/>
      <c r="J12" s="13"/>
    </row>
    <row r="13" spans="2:10" ht="15" customHeight="1">
      <c r="B13" s="109">
        <v>10</v>
      </c>
      <c r="C13" s="112"/>
      <c r="D13" s="112" t="s">
        <v>29</v>
      </c>
      <c r="E13" s="112"/>
      <c r="F13" s="112"/>
      <c r="G13" s="112"/>
      <c r="H13" s="112"/>
      <c r="I13" s="112"/>
      <c r="J13" s="13"/>
    </row>
    <row r="14" spans="2:10">
      <c r="B14" s="109">
        <v>11</v>
      </c>
      <c r="C14" s="112"/>
      <c r="D14" s="112" t="s">
        <v>29</v>
      </c>
      <c r="E14" s="112"/>
      <c r="F14" s="112"/>
      <c r="G14" s="112"/>
      <c r="H14" s="112"/>
      <c r="I14" s="112"/>
      <c r="J14" s="13"/>
    </row>
  </sheetData>
  <conditionalFormatting sqref="D4:D14">
    <cfRule type="cellIs" dxfId="2" priority="1" operator="equal">
      <formula>"Suspend"</formula>
    </cfRule>
    <cfRule type="cellIs" dxfId="1" priority="2" operator="equal">
      <formula>"Open"</formula>
    </cfRule>
    <cfRule type="cellIs" dxfId="0" priority="3" operator="equal">
      <formula>"Close"</formula>
    </cfRule>
  </conditionalFormatting>
  <dataValidations count="1">
    <dataValidation type="list" allowBlank="1" showInputMessage="1" showErrorMessage="1" sqref="D4:D14" xr:uid="{00000000-0002-0000-0700-000000000000}">
      <formula1>"Close, Open, Suspend"</formula1>
    </dataValidation>
  </dataValidations>
  <pageMargins left="0.36458333333333298" right="0.31862745098039202" top="0.73958333333333304" bottom="0.75" header="0.3" footer="0.3"/>
  <pageSetup paperSize="1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1.Cover</vt:lpstr>
      <vt:lpstr>2.History_ver</vt:lpstr>
      <vt:lpstr>3.Summary</vt:lpstr>
      <vt:lpstr>4.Definition_list</vt:lpstr>
      <vt:lpstr>5.Function_list</vt:lpstr>
      <vt:lpstr>6.Testlist</vt:lpstr>
      <vt:lpstr>7.Scenario_flow</vt:lpstr>
      <vt:lpstr>8.SVA_List</vt:lpstr>
      <vt:lpstr>9.Q&amp;A</vt:lpstr>
      <vt:lpstr>f_1</vt:lpstr>
      <vt:lpstr>'4.Definition_list'!Print_Area</vt:lpstr>
      <vt:lpstr>'5.Function_list'!Print_Area</vt:lpstr>
      <vt:lpstr>'6.Testlist'!Print_Area</vt:lpstr>
      <vt:lpstr>'7.Scenario_flow'!Print_Area</vt:lpstr>
      <vt:lpstr>Total_T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2026-01-07T07:16:34Z</dcterms:modified>
</cp:coreProperties>
</file>